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28CF3E22-B15D-4187-83AE-C98B351A3CCC}" xr6:coauthVersionLast="47" xr6:coauthVersionMax="47" xr10:uidLastSave="{00000000-0000-0000-0000-000000000000}"/>
  <bookViews>
    <workbookView xWindow="229" yWindow="1077" windowWidth="25610" windowHeight="13458" activeTab="1" xr2:uid="{B64499F4-145E-46B1-9754-51D4998AFA48}"/>
  </bookViews>
  <sheets>
    <sheet name="metrics" sheetId="3" r:id="rId1"/>
    <sheet name="dashboard" sheetId="5" r:id="rId2"/>
    <sheet name="pivot" sheetId="4" r:id="rId3"/>
    <sheet name="sheet1" sheetId="1" r:id="rId4"/>
  </sheets>
  <definedNames>
    <definedName name="_xlnm._FilterDatabase" localSheetId="3" hidden="1">sheet1!$A$1:$M$151</definedName>
    <definedName name="Slicer_Account_type">#N/A</definedName>
    <definedName name="Slicer_Gender">#N/A</definedName>
    <definedName name="Slicer_St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P2" i="1"/>
  <c r="O2" i="1"/>
  <c r="N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3"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2" i="1"/>
</calcChain>
</file>

<file path=xl/sharedStrings.xml><?xml version="1.0" encoding="utf-8"?>
<sst xmlns="http://schemas.openxmlformats.org/spreadsheetml/2006/main" count="1373" uniqueCount="394">
  <si>
    <t>C001</t>
  </si>
  <si>
    <t>Sophia White</t>
  </si>
  <si>
    <t>Male</t>
  </si>
  <si>
    <t>Current</t>
  </si>
  <si>
    <t>Deposit</t>
  </si>
  <si>
    <t>2025-01-02</t>
  </si>
  <si>
    <t>Kano</t>
  </si>
  <si>
    <t>No</t>
  </si>
  <si>
    <t>C002</t>
  </si>
  <si>
    <t>David Brown</t>
  </si>
  <si>
    <t>Savings</t>
  </si>
  <si>
    <t>Withdrawal</t>
  </si>
  <si>
    <t>2025-01-03</t>
  </si>
  <si>
    <t>Ibadan</t>
  </si>
  <si>
    <t>C003</t>
  </si>
  <si>
    <t>Mary Johnson</t>
  </si>
  <si>
    <t>Fixed</t>
  </si>
  <si>
    <t>Transfer</t>
  </si>
  <si>
    <t>2025-01-04</t>
  </si>
  <si>
    <t>C004</t>
  </si>
  <si>
    <t>John Smith</t>
  </si>
  <si>
    <t>2025-01-05</t>
  </si>
  <si>
    <t>Abuja</t>
  </si>
  <si>
    <t>C005</t>
  </si>
  <si>
    <t>Daniel Anderson</t>
  </si>
  <si>
    <t>2025-01-06</t>
  </si>
  <si>
    <t>Yes</t>
  </si>
  <si>
    <t>C006</t>
  </si>
  <si>
    <t>2025-01-07</t>
  </si>
  <si>
    <t>Lagos</t>
  </si>
  <si>
    <t>C007</t>
  </si>
  <si>
    <t>2025-01-08</t>
  </si>
  <si>
    <t>C008</t>
  </si>
  <si>
    <t>Olivia Thomas</t>
  </si>
  <si>
    <t>Female</t>
  </si>
  <si>
    <t>2025-01-09</t>
  </si>
  <si>
    <t>C009</t>
  </si>
  <si>
    <t>2025-01-10</t>
  </si>
  <si>
    <t>C010</t>
  </si>
  <si>
    <t>2025-01-11</t>
  </si>
  <si>
    <t>C011</t>
  </si>
  <si>
    <t>2025-01-12</t>
  </si>
  <si>
    <t>C012</t>
  </si>
  <si>
    <t>2025-01-13</t>
  </si>
  <si>
    <t>C013</t>
  </si>
  <si>
    <t>Sarah Davis</t>
  </si>
  <si>
    <t>2025-01-14</t>
  </si>
  <si>
    <t>C014</t>
  </si>
  <si>
    <t>James Jackson</t>
  </si>
  <si>
    <t>2025-01-15</t>
  </si>
  <si>
    <t>C015</t>
  </si>
  <si>
    <t>2025-01-16</t>
  </si>
  <si>
    <t>C016</t>
  </si>
  <si>
    <t>2025-01-17</t>
  </si>
  <si>
    <t>C017</t>
  </si>
  <si>
    <t>2025-01-18</t>
  </si>
  <si>
    <t>C018</t>
  </si>
  <si>
    <t>Michael Wilson</t>
  </si>
  <si>
    <t>2025-01-19</t>
  </si>
  <si>
    <t>C019</t>
  </si>
  <si>
    <t>2025-01-20</t>
  </si>
  <si>
    <t>C020</t>
  </si>
  <si>
    <t>2025-01-21</t>
  </si>
  <si>
    <t>C021</t>
  </si>
  <si>
    <t>2025-01-22</t>
  </si>
  <si>
    <t>C022</t>
  </si>
  <si>
    <t>2025-01-23</t>
  </si>
  <si>
    <t>C023</t>
  </si>
  <si>
    <t>2025-01-24</t>
  </si>
  <si>
    <t>C024</t>
  </si>
  <si>
    <t>2025-01-25</t>
  </si>
  <si>
    <t>C025</t>
  </si>
  <si>
    <t>2025-01-26</t>
  </si>
  <si>
    <t>C026</t>
  </si>
  <si>
    <t>2025-01-27</t>
  </si>
  <si>
    <t>C027</t>
  </si>
  <si>
    <t>2025-01-28</t>
  </si>
  <si>
    <t>C028</t>
  </si>
  <si>
    <t>Emily Taylor</t>
  </si>
  <si>
    <t>2025-01-29</t>
  </si>
  <si>
    <t>C029</t>
  </si>
  <si>
    <t>2025-01-30</t>
  </si>
  <si>
    <t>C030</t>
  </si>
  <si>
    <t>2025-01-31</t>
  </si>
  <si>
    <t>C031</t>
  </si>
  <si>
    <t>2025-02-01</t>
  </si>
  <si>
    <t>C032</t>
  </si>
  <si>
    <t>2025-02-02</t>
  </si>
  <si>
    <t>C033</t>
  </si>
  <si>
    <t>2025-02-03</t>
  </si>
  <si>
    <t>C034</t>
  </si>
  <si>
    <t>2025-02-04</t>
  </si>
  <si>
    <t>C035</t>
  </si>
  <si>
    <t>2025-02-05</t>
  </si>
  <si>
    <t>C036</t>
  </si>
  <si>
    <t>2025-02-06</t>
  </si>
  <si>
    <t>C037</t>
  </si>
  <si>
    <t>2025-02-07</t>
  </si>
  <si>
    <t>C038</t>
  </si>
  <si>
    <t>2025-02-08</t>
  </si>
  <si>
    <t>C039</t>
  </si>
  <si>
    <t>2025-02-09</t>
  </si>
  <si>
    <t>C040</t>
  </si>
  <si>
    <t>2025-02-10</t>
  </si>
  <si>
    <t>C041</t>
  </si>
  <si>
    <t>2025-02-11</t>
  </si>
  <si>
    <t>C042</t>
  </si>
  <si>
    <t>2025-02-12</t>
  </si>
  <si>
    <t>C043</t>
  </si>
  <si>
    <t>2025-02-13</t>
  </si>
  <si>
    <t>C044</t>
  </si>
  <si>
    <t>2025-02-14</t>
  </si>
  <si>
    <t>C045</t>
  </si>
  <si>
    <t>2025-02-15</t>
  </si>
  <si>
    <t>C046</t>
  </si>
  <si>
    <t>2025-02-16</t>
  </si>
  <si>
    <t>C047</t>
  </si>
  <si>
    <t>2025-02-17</t>
  </si>
  <si>
    <t>C048</t>
  </si>
  <si>
    <t>2025-02-18</t>
  </si>
  <si>
    <t>C049</t>
  </si>
  <si>
    <t>2025-02-19</t>
  </si>
  <si>
    <t>C050</t>
  </si>
  <si>
    <t>2025-02-20</t>
  </si>
  <si>
    <t>C051</t>
  </si>
  <si>
    <t>2025-02-21</t>
  </si>
  <si>
    <t>C052</t>
  </si>
  <si>
    <t>2025-02-22</t>
  </si>
  <si>
    <t>C053</t>
  </si>
  <si>
    <t>2025-02-23</t>
  </si>
  <si>
    <t>C054</t>
  </si>
  <si>
    <t>2025-02-24</t>
  </si>
  <si>
    <t>C055</t>
  </si>
  <si>
    <t>2025-02-25</t>
  </si>
  <si>
    <t>C056</t>
  </si>
  <si>
    <t>2025-02-26</t>
  </si>
  <si>
    <t>C057</t>
  </si>
  <si>
    <t>2025-02-27</t>
  </si>
  <si>
    <t>C058</t>
  </si>
  <si>
    <t>2025-02-28</t>
  </si>
  <si>
    <t>C059</t>
  </si>
  <si>
    <t>2025-03-01</t>
  </si>
  <si>
    <t>C060</t>
  </si>
  <si>
    <t>2025-03-02</t>
  </si>
  <si>
    <t>C061</t>
  </si>
  <si>
    <t>2025-03-03</t>
  </si>
  <si>
    <t>C062</t>
  </si>
  <si>
    <t>2025-03-04</t>
  </si>
  <si>
    <t>C063</t>
  </si>
  <si>
    <t>2025-03-05</t>
  </si>
  <si>
    <t>C064</t>
  </si>
  <si>
    <t>2025-03-06</t>
  </si>
  <si>
    <t>C065</t>
  </si>
  <si>
    <t>2025-03-07</t>
  </si>
  <si>
    <t>C066</t>
  </si>
  <si>
    <t>2025-03-08</t>
  </si>
  <si>
    <t>C067</t>
  </si>
  <si>
    <t>2025-03-09</t>
  </si>
  <si>
    <t>C068</t>
  </si>
  <si>
    <t>2025-03-10</t>
  </si>
  <si>
    <t>C069</t>
  </si>
  <si>
    <t>2025-03-11</t>
  </si>
  <si>
    <t>C070</t>
  </si>
  <si>
    <t>2025-03-12</t>
  </si>
  <si>
    <t>C071</t>
  </si>
  <si>
    <t>2025-03-13</t>
  </si>
  <si>
    <t>C072</t>
  </si>
  <si>
    <t>2025-03-14</t>
  </si>
  <si>
    <t>C073</t>
  </si>
  <si>
    <t>2025-03-15</t>
  </si>
  <si>
    <t>C074</t>
  </si>
  <si>
    <t>2025-03-16</t>
  </si>
  <si>
    <t>C075</t>
  </si>
  <si>
    <t>2025-03-17</t>
  </si>
  <si>
    <t>C076</t>
  </si>
  <si>
    <t>2025-03-18</t>
  </si>
  <si>
    <t>C077</t>
  </si>
  <si>
    <t>2025-03-19</t>
  </si>
  <si>
    <t>C078</t>
  </si>
  <si>
    <t>2025-03-20</t>
  </si>
  <si>
    <t>C079</t>
  </si>
  <si>
    <t>2025-03-21</t>
  </si>
  <si>
    <t>C080</t>
  </si>
  <si>
    <t>2025-03-22</t>
  </si>
  <si>
    <t>C081</t>
  </si>
  <si>
    <t>2025-03-23</t>
  </si>
  <si>
    <t>C082</t>
  </si>
  <si>
    <t>2025-03-24</t>
  </si>
  <si>
    <t>C083</t>
  </si>
  <si>
    <t>2025-03-25</t>
  </si>
  <si>
    <t>C084</t>
  </si>
  <si>
    <t>2025-03-26</t>
  </si>
  <si>
    <t>C085</t>
  </si>
  <si>
    <t>2025-03-27</t>
  </si>
  <si>
    <t>C086</t>
  </si>
  <si>
    <t>2025-03-28</t>
  </si>
  <si>
    <t>C087</t>
  </si>
  <si>
    <t>2025-03-29</t>
  </si>
  <si>
    <t>C088</t>
  </si>
  <si>
    <t>2025-03-30</t>
  </si>
  <si>
    <t>C089</t>
  </si>
  <si>
    <t>2025-03-31</t>
  </si>
  <si>
    <t>C090</t>
  </si>
  <si>
    <t>2025-04-01</t>
  </si>
  <si>
    <t>C091</t>
  </si>
  <si>
    <t>2025-04-02</t>
  </si>
  <si>
    <t>C092</t>
  </si>
  <si>
    <t>2025-04-03</t>
  </si>
  <si>
    <t>C093</t>
  </si>
  <si>
    <t>2025-04-04</t>
  </si>
  <si>
    <t>C094</t>
  </si>
  <si>
    <t>2025-04-05</t>
  </si>
  <si>
    <t>C095</t>
  </si>
  <si>
    <t>2025-04-06</t>
  </si>
  <si>
    <t>C096</t>
  </si>
  <si>
    <t>2025-04-07</t>
  </si>
  <si>
    <t>C097</t>
  </si>
  <si>
    <t>2025-04-08</t>
  </si>
  <si>
    <t>C098</t>
  </si>
  <si>
    <t>2025-04-09</t>
  </si>
  <si>
    <t>C099</t>
  </si>
  <si>
    <t>2025-04-10</t>
  </si>
  <si>
    <t>C100</t>
  </si>
  <si>
    <t>2025-04-11</t>
  </si>
  <si>
    <t>C101</t>
  </si>
  <si>
    <t>2025-04-12</t>
  </si>
  <si>
    <t>C102</t>
  </si>
  <si>
    <t>2025-04-13</t>
  </si>
  <si>
    <t>C103</t>
  </si>
  <si>
    <t>2025-04-14</t>
  </si>
  <si>
    <t>C104</t>
  </si>
  <si>
    <t>2025-04-15</t>
  </si>
  <si>
    <t>C105</t>
  </si>
  <si>
    <t>2025-04-16</t>
  </si>
  <si>
    <t>C106</t>
  </si>
  <si>
    <t>2025-04-17</t>
  </si>
  <si>
    <t>C107</t>
  </si>
  <si>
    <t>2025-04-18</t>
  </si>
  <si>
    <t>C108</t>
  </si>
  <si>
    <t>2025-04-19</t>
  </si>
  <si>
    <t>C109</t>
  </si>
  <si>
    <t>2025-04-20</t>
  </si>
  <si>
    <t>C110</t>
  </si>
  <si>
    <t>2025-04-21</t>
  </si>
  <si>
    <t>C111</t>
  </si>
  <si>
    <t>2025-04-22</t>
  </si>
  <si>
    <t>C112</t>
  </si>
  <si>
    <t>2025-04-23</t>
  </si>
  <si>
    <t>C113</t>
  </si>
  <si>
    <t>2025-04-24</t>
  </si>
  <si>
    <t>C114</t>
  </si>
  <si>
    <t>2025-04-25</t>
  </si>
  <si>
    <t>C115</t>
  </si>
  <si>
    <t>2025-04-26</t>
  </si>
  <si>
    <t>C116</t>
  </si>
  <si>
    <t>2025-04-27</t>
  </si>
  <si>
    <t>C117</t>
  </si>
  <si>
    <t>2025-04-28</t>
  </si>
  <si>
    <t>C118</t>
  </si>
  <si>
    <t>2025-04-29</t>
  </si>
  <si>
    <t>C119</t>
  </si>
  <si>
    <t>2025-04-30</t>
  </si>
  <si>
    <t>C120</t>
  </si>
  <si>
    <t>2025-05-01</t>
  </si>
  <si>
    <t>C121</t>
  </si>
  <si>
    <t>2025-05-02</t>
  </si>
  <si>
    <t>C122</t>
  </si>
  <si>
    <t>2025-05-03</t>
  </si>
  <si>
    <t>C123</t>
  </si>
  <si>
    <t>2025-05-04</t>
  </si>
  <si>
    <t>C124</t>
  </si>
  <si>
    <t>2025-05-05</t>
  </si>
  <si>
    <t>C125</t>
  </si>
  <si>
    <t>2025-05-06</t>
  </si>
  <si>
    <t>C126</t>
  </si>
  <si>
    <t>2025-05-07</t>
  </si>
  <si>
    <t>C127</t>
  </si>
  <si>
    <t>2025-05-08</t>
  </si>
  <si>
    <t>C128</t>
  </si>
  <si>
    <t>2025-05-09</t>
  </si>
  <si>
    <t>C129</t>
  </si>
  <si>
    <t>2025-05-10</t>
  </si>
  <si>
    <t>C130</t>
  </si>
  <si>
    <t>2025-05-11</t>
  </si>
  <si>
    <t>C131</t>
  </si>
  <si>
    <t>2025-05-12</t>
  </si>
  <si>
    <t>C132</t>
  </si>
  <si>
    <t>2025-05-13</t>
  </si>
  <si>
    <t>C133</t>
  </si>
  <si>
    <t>2025-05-14</t>
  </si>
  <si>
    <t>C134</t>
  </si>
  <si>
    <t>2025-05-15</t>
  </si>
  <si>
    <t>C135</t>
  </si>
  <si>
    <t>2025-05-16</t>
  </si>
  <si>
    <t>C136</t>
  </si>
  <si>
    <t>2025-05-17</t>
  </si>
  <si>
    <t>C137</t>
  </si>
  <si>
    <t>2025-05-18</t>
  </si>
  <si>
    <t>C138</t>
  </si>
  <si>
    <t>2025-05-19</t>
  </si>
  <si>
    <t>C139</t>
  </si>
  <si>
    <t>2025-05-20</t>
  </si>
  <si>
    <t>C140</t>
  </si>
  <si>
    <t>2025-05-21</t>
  </si>
  <si>
    <t>C141</t>
  </si>
  <si>
    <t>2025-05-22</t>
  </si>
  <si>
    <t>C142</t>
  </si>
  <si>
    <t>2025-05-23</t>
  </si>
  <si>
    <t>C143</t>
  </si>
  <si>
    <t>2025-05-24</t>
  </si>
  <si>
    <t>C144</t>
  </si>
  <si>
    <t>2025-05-25</t>
  </si>
  <si>
    <t>C145</t>
  </si>
  <si>
    <t>2025-05-26</t>
  </si>
  <si>
    <t>C146</t>
  </si>
  <si>
    <t>2025-05-27</t>
  </si>
  <si>
    <t>C147</t>
  </si>
  <si>
    <t>2025-05-28</t>
  </si>
  <si>
    <t>C148</t>
  </si>
  <si>
    <t>2025-05-29</t>
  </si>
  <si>
    <t>C149</t>
  </si>
  <si>
    <t>2025-05-30</t>
  </si>
  <si>
    <t>C150</t>
  </si>
  <si>
    <t>2025-05-31</t>
  </si>
  <si>
    <t>Customer_id</t>
  </si>
  <si>
    <t>Customer-Name</t>
  </si>
  <si>
    <t>Age</t>
  </si>
  <si>
    <t>Gender</t>
  </si>
  <si>
    <t>Account-type</t>
  </si>
  <si>
    <t>Balance</t>
  </si>
  <si>
    <t>Transaction-Type</t>
  </si>
  <si>
    <t>transation-amount</t>
  </si>
  <si>
    <t>Date</t>
  </si>
  <si>
    <t>State</t>
  </si>
  <si>
    <t>Loan status</t>
  </si>
  <si>
    <t>mont-date</t>
  </si>
  <si>
    <t>customer-value</t>
  </si>
  <si>
    <t>abuja</t>
  </si>
  <si>
    <t>ibadan</t>
  </si>
  <si>
    <t>🔹 Advanced Insight Questions (Pivot Table + Charts)</t>
  </si>
  <si>
    <r>
      <t xml:space="preserve">11. Which </t>
    </r>
    <r>
      <rPr>
        <b/>
        <sz val="11"/>
        <color theme="1"/>
        <rFont val="Calibri"/>
        <family val="2"/>
        <scheme val="minor"/>
      </rPr>
      <t>Branch generates the highest revenue (Transaction_Amount)</t>
    </r>
    <r>
      <rPr>
        <sz val="11"/>
        <color theme="1"/>
        <rFont val="Calibri"/>
        <family val="2"/>
        <scheme val="minor"/>
      </rPr>
      <t>?</t>
    </r>
  </si>
  <si>
    <r>
      <t xml:space="preserve">12. What is the </t>
    </r>
    <r>
      <rPr>
        <b/>
        <sz val="11"/>
        <color theme="1"/>
        <rFont val="Calibri"/>
        <family val="2"/>
        <scheme val="minor"/>
      </rPr>
      <t>trend of transactions over time</t>
    </r>
    <r>
      <rPr>
        <sz val="11"/>
        <color theme="1"/>
        <rFont val="Calibri"/>
        <family val="2"/>
        <scheme val="minor"/>
      </rPr>
      <t xml:space="preserve"> (monthly analysis)?</t>
    </r>
  </si>
  <si>
    <r>
      <t xml:space="preserve">13. Which </t>
    </r>
    <r>
      <rPr>
        <b/>
        <sz val="11"/>
        <color theme="1"/>
        <rFont val="Calibri"/>
        <family val="2"/>
        <scheme val="minor"/>
      </rPr>
      <t>Account_Type has the highest average transaction amount</t>
    </r>
    <r>
      <rPr>
        <sz val="11"/>
        <color theme="1"/>
        <rFont val="Calibri"/>
        <family val="2"/>
        <scheme val="minor"/>
      </rPr>
      <t>?</t>
    </r>
  </si>
  <si>
    <r>
      <t xml:space="preserve">14. What percentage of customers have </t>
    </r>
    <r>
      <rPr>
        <b/>
        <sz val="11"/>
        <color theme="1"/>
        <rFont val="Calibri"/>
        <family val="2"/>
        <scheme val="minor"/>
      </rPr>
      <t>active loans</t>
    </r>
    <r>
      <rPr>
        <sz val="11"/>
        <color theme="1"/>
        <rFont val="Calibri"/>
        <family val="2"/>
        <scheme val="minor"/>
      </rPr>
      <t>?</t>
    </r>
  </si>
  <si>
    <r>
      <t xml:space="preserve">15. Which </t>
    </r>
    <r>
      <rPr>
        <b/>
        <sz val="11"/>
        <color theme="1"/>
        <rFont val="Calibri"/>
        <family val="2"/>
        <scheme val="minor"/>
      </rPr>
      <t>age group (e.g., 20–30, 31–40, etc.) has the highest balance</t>
    </r>
    <r>
      <rPr>
        <sz val="11"/>
        <color theme="1"/>
        <rFont val="Calibri"/>
        <family val="2"/>
        <scheme val="minor"/>
      </rPr>
      <t>?</t>
    </r>
  </si>
  <si>
    <t>🔹 Analytical / Business Insight Questions</t>
  </si>
  <si>
    <r>
      <t xml:space="preserve">16. Are customers with </t>
    </r>
    <r>
      <rPr>
        <b/>
        <sz val="11"/>
        <color theme="1"/>
        <rFont val="Calibri"/>
        <family val="2"/>
        <scheme val="minor"/>
      </rPr>
      <t>loans holding higher balances</t>
    </r>
    <r>
      <rPr>
        <sz val="11"/>
        <color theme="1"/>
        <rFont val="Calibri"/>
        <family val="2"/>
        <scheme val="minor"/>
      </rPr>
      <t xml:space="preserve"> than those without?</t>
    </r>
  </si>
  <si>
    <r>
      <t xml:space="preserve">17. Which </t>
    </r>
    <r>
      <rPr>
        <b/>
        <sz val="11"/>
        <color theme="1"/>
        <rFont val="Calibri"/>
        <family val="2"/>
        <scheme val="minor"/>
      </rPr>
      <t>Transaction_Type is most frequent per branch</t>
    </r>
    <r>
      <rPr>
        <sz val="11"/>
        <color theme="1"/>
        <rFont val="Calibri"/>
        <family val="2"/>
        <scheme val="minor"/>
      </rPr>
      <t>?</t>
    </r>
  </si>
  <si>
    <r>
      <t xml:space="preserve">18. Identify the </t>
    </r>
    <r>
      <rPr>
        <b/>
        <sz val="11"/>
        <color theme="1"/>
        <rFont val="Calibri"/>
        <family val="2"/>
        <scheme val="minor"/>
      </rPr>
      <t>top 5 customers by balance</t>
    </r>
  </si>
  <si>
    <r>
      <t xml:space="preserve">19. Which branch has the </t>
    </r>
    <r>
      <rPr>
        <b/>
        <sz val="11"/>
        <color theme="1"/>
        <rFont val="Calibri"/>
        <family val="2"/>
        <scheme val="minor"/>
      </rPr>
      <t>highest number of loan customers</t>
    </r>
    <r>
      <rPr>
        <sz val="11"/>
        <color theme="1"/>
        <rFont val="Calibri"/>
        <family val="2"/>
        <scheme val="minor"/>
      </rPr>
      <t>?</t>
    </r>
  </si>
  <si>
    <r>
      <t xml:space="preserve">20. Is there a relationship between </t>
    </r>
    <r>
      <rPr>
        <b/>
        <sz val="11"/>
        <color theme="1"/>
        <rFont val="Calibri"/>
        <family val="2"/>
        <scheme val="minor"/>
      </rPr>
      <t>Age and Transaction Amount</t>
    </r>
    <r>
      <rPr>
        <sz val="11"/>
        <color theme="1"/>
        <rFont val="Calibri"/>
        <family val="2"/>
        <scheme val="minor"/>
      </rPr>
      <t>?</t>
    </r>
  </si>
  <si>
    <t>🔹 Dashboard / KPI Questions</t>
  </si>
  <si>
    <r>
      <t xml:space="preserve">21. What is the </t>
    </r>
    <r>
      <rPr>
        <b/>
        <sz val="11"/>
        <color theme="1"/>
        <rFont val="Calibri"/>
        <family val="2"/>
        <scheme val="minor"/>
      </rPr>
      <t>total number of customers</t>
    </r>
    <r>
      <rPr>
        <sz val="11"/>
        <color theme="1"/>
        <rFont val="Calibri"/>
        <family val="2"/>
        <scheme val="minor"/>
      </rPr>
      <t>?</t>
    </r>
  </si>
  <si>
    <r>
      <t xml:space="preserve">22. What is the </t>
    </r>
    <r>
      <rPr>
        <b/>
        <sz val="11"/>
        <color theme="1"/>
        <rFont val="Calibri"/>
        <family val="2"/>
        <scheme val="minor"/>
      </rPr>
      <t>total transaction volume</t>
    </r>
    <r>
      <rPr>
        <sz val="11"/>
        <color theme="1"/>
        <rFont val="Calibri"/>
        <family val="2"/>
        <scheme val="minor"/>
      </rPr>
      <t>?</t>
    </r>
  </si>
  <si>
    <r>
      <t xml:space="preserve">23. What is the </t>
    </r>
    <r>
      <rPr>
        <b/>
        <sz val="11"/>
        <color theme="1"/>
        <rFont val="Calibri"/>
        <family val="2"/>
        <scheme val="minor"/>
      </rPr>
      <t>loan customer ratio (%)</t>
    </r>
    <r>
      <rPr>
        <sz val="11"/>
        <color theme="1"/>
        <rFont val="Calibri"/>
        <family val="2"/>
        <scheme val="minor"/>
      </rPr>
      <t>?</t>
    </r>
  </si>
  <si>
    <r>
      <t xml:space="preserve">24. What is the </t>
    </r>
    <r>
      <rPr>
        <b/>
        <sz val="11"/>
        <color theme="1"/>
        <rFont val="Calibri"/>
        <family val="2"/>
        <scheme val="minor"/>
      </rPr>
      <t>average balance per customer</t>
    </r>
    <r>
      <rPr>
        <sz val="11"/>
        <color theme="1"/>
        <rFont val="Calibri"/>
        <family val="2"/>
        <scheme val="minor"/>
      </rPr>
      <t>?</t>
    </r>
  </si>
  <si>
    <r>
      <t xml:space="preserve">25. What is the </t>
    </r>
    <r>
      <rPr>
        <b/>
        <sz val="11"/>
        <color theme="1"/>
        <rFont val="Calibri"/>
        <family val="2"/>
        <scheme val="minor"/>
      </rPr>
      <t>most active branch</t>
    </r>
    <r>
      <rPr>
        <sz val="11"/>
        <color theme="1"/>
        <rFont val="Calibri"/>
        <family val="2"/>
        <scheme val="minor"/>
      </rPr>
      <t>?</t>
    </r>
  </si>
  <si>
    <t>🔹 Advanced Excel Formula Practice</t>
  </si>
  <si>
    <r>
      <t xml:space="preserve">26. Use </t>
    </r>
    <r>
      <rPr>
        <sz val="10"/>
        <color theme="1"/>
        <rFont val="Arial Unicode MS"/>
      </rPr>
      <t>IF</t>
    </r>
    <r>
      <rPr>
        <sz val="11"/>
        <color theme="1"/>
        <rFont val="Calibri"/>
        <family val="2"/>
        <scheme val="minor"/>
      </rPr>
      <t xml:space="preserve"> to classify customers as </t>
    </r>
    <r>
      <rPr>
        <b/>
        <sz val="11"/>
        <color theme="1"/>
        <rFont val="Calibri"/>
        <family val="2"/>
        <scheme val="minor"/>
      </rPr>
      <t>High Value (Balance &gt; 10,000)</t>
    </r>
    <r>
      <rPr>
        <sz val="11"/>
        <color theme="1"/>
        <rFont val="Calibri"/>
        <family val="2"/>
        <scheme val="minor"/>
      </rPr>
      <t xml:space="preserve"> or Low Value</t>
    </r>
  </si>
  <si>
    <r>
      <t xml:space="preserve">27. Use </t>
    </r>
    <r>
      <rPr>
        <sz val="10"/>
        <color theme="1"/>
        <rFont val="Arial Unicode MS"/>
      </rPr>
      <t>COUNTIFS</t>
    </r>
    <r>
      <rPr>
        <sz val="11"/>
        <color theme="1"/>
        <rFont val="Calibri"/>
        <family val="2"/>
        <scheme val="minor"/>
      </rPr>
      <t xml:space="preserve"> to count customers by </t>
    </r>
    <r>
      <rPr>
        <b/>
        <sz val="11"/>
        <color theme="1"/>
        <rFont val="Calibri"/>
        <family val="2"/>
        <scheme val="minor"/>
      </rPr>
      <t>Branch and Loan_Status</t>
    </r>
  </si>
  <si>
    <r>
      <t xml:space="preserve">28. Use </t>
    </r>
    <r>
      <rPr>
        <sz val="10"/>
        <color theme="1"/>
        <rFont val="Arial Unicode MS"/>
      </rPr>
      <t>SUMIFS</t>
    </r>
    <r>
      <rPr>
        <sz val="11"/>
        <color theme="1"/>
        <rFont val="Calibri"/>
        <family val="2"/>
        <scheme val="minor"/>
      </rPr>
      <t xml:space="preserve"> to calculate total transactions for a specific </t>
    </r>
    <r>
      <rPr>
        <b/>
        <sz val="11"/>
        <color theme="1"/>
        <rFont val="Calibri"/>
        <family val="2"/>
        <scheme val="minor"/>
      </rPr>
      <t>Account_Type</t>
    </r>
  </si>
  <si>
    <r>
      <t xml:space="preserve">29. Use </t>
    </r>
    <r>
      <rPr>
        <sz val="10"/>
        <color theme="1"/>
        <rFont val="Arial Unicode MS"/>
      </rPr>
      <t>VLOOKUP</t>
    </r>
    <r>
      <rPr>
        <sz val="11"/>
        <color theme="1"/>
        <rFont val="Calibri"/>
        <family val="2"/>
        <scheme val="minor"/>
      </rPr>
      <t xml:space="preserve"> or </t>
    </r>
    <r>
      <rPr>
        <sz val="10"/>
        <color theme="1"/>
        <rFont val="Arial Unicode MS"/>
      </rPr>
      <t>XLOOKUP</t>
    </r>
    <r>
      <rPr>
        <sz val="11"/>
        <color theme="1"/>
        <rFont val="Calibri"/>
        <family val="2"/>
        <scheme val="minor"/>
      </rPr>
      <t xml:space="preserve"> to retrieve customer details</t>
    </r>
  </si>
  <si>
    <r>
      <t xml:space="preserve">30. Use </t>
    </r>
    <r>
      <rPr>
        <sz val="10"/>
        <color theme="1"/>
        <rFont val="Arial Unicode MS"/>
      </rPr>
      <t>DATEDIF</t>
    </r>
    <r>
      <rPr>
        <sz val="11"/>
        <color theme="1"/>
        <rFont val="Calibri"/>
        <family val="2"/>
        <scheme val="minor"/>
      </rPr>
      <t xml:space="preserve"> to calculate </t>
    </r>
    <r>
      <rPr>
        <b/>
        <sz val="11"/>
        <color theme="1"/>
        <rFont val="Calibri"/>
        <family val="2"/>
        <scheme val="minor"/>
      </rPr>
      <t>account activity duration</t>
    </r>
  </si>
  <si>
    <t>🔹 Power User Insight Questions</t>
  </si>
  <si>
    <r>
      <t xml:space="preserve">31. Create a </t>
    </r>
    <r>
      <rPr>
        <b/>
        <sz val="11"/>
        <color theme="1"/>
        <rFont val="Calibri"/>
        <family val="2"/>
        <scheme val="minor"/>
      </rPr>
      <t>Pivot Chart</t>
    </r>
    <r>
      <rPr>
        <sz val="11"/>
        <color theme="1"/>
        <rFont val="Calibri"/>
        <family val="2"/>
        <scheme val="minor"/>
      </rPr>
      <t xml:space="preserve"> showing transaction distribution by type</t>
    </r>
  </si>
  <si>
    <r>
      <t xml:space="preserve">32. Build a </t>
    </r>
    <r>
      <rPr>
        <b/>
        <sz val="11"/>
        <color theme="1"/>
        <rFont val="Calibri"/>
        <family val="2"/>
        <scheme val="minor"/>
      </rPr>
      <t>dashboard with slicers</t>
    </r>
    <r>
      <rPr>
        <sz val="11"/>
        <color theme="1"/>
        <rFont val="Calibri"/>
        <family val="2"/>
        <scheme val="minor"/>
      </rPr>
      <t xml:space="preserve"> (Branch, Gender, Account Type)</t>
    </r>
  </si>
  <si>
    <r>
      <t xml:space="preserve">33. Identify </t>
    </r>
    <r>
      <rPr>
        <b/>
        <sz val="11"/>
        <color theme="1"/>
        <rFont val="Calibri"/>
        <family val="2"/>
        <scheme val="minor"/>
      </rPr>
      <t>outliers in transaction amounts</t>
    </r>
  </si>
  <si>
    <r>
      <t xml:space="preserve">34. Calculate </t>
    </r>
    <r>
      <rPr>
        <b/>
        <sz val="11"/>
        <color theme="1"/>
        <rFont val="Calibri"/>
        <family val="2"/>
        <scheme val="minor"/>
      </rPr>
      <t>running total of transactions over time</t>
    </r>
  </si>
  <si>
    <r>
      <t xml:space="preserve">35. Perform a </t>
    </r>
    <r>
      <rPr>
        <b/>
        <sz val="11"/>
        <color theme="1"/>
        <rFont val="Calibri"/>
        <family val="2"/>
        <scheme val="minor"/>
      </rPr>
      <t>cohort-style analysis by age group and loan status</t>
    </r>
  </si>
  <si>
    <t>Row Labels</t>
  </si>
  <si>
    <t>Grand Total</t>
  </si>
  <si>
    <t>Sum of transation-amount</t>
  </si>
  <si>
    <t>Jan</t>
  </si>
  <si>
    <t>Feb</t>
  </si>
  <si>
    <t>Mar</t>
  </si>
  <si>
    <t>Apr</t>
  </si>
  <si>
    <t>May</t>
  </si>
  <si>
    <t>Average of transation-amount</t>
  </si>
  <si>
    <t>No.1</t>
  </si>
  <si>
    <t>no.2</t>
  </si>
  <si>
    <t>No.3</t>
  </si>
  <si>
    <t>No.4</t>
  </si>
  <si>
    <t>Count of Customer-Name</t>
  </si>
  <si>
    <t>Count of Loan status</t>
  </si>
  <si>
    <t>Sum of Balance</t>
  </si>
  <si>
    <t>No.5</t>
  </si>
  <si>
    <t>Column Labels</t>
  </si>
  <si>
    <t>No.6</t>
  </si>
  <si>
    <t>Count of State</t>
  </si>
  <si>
    <t>No.7</t>
  </si>
  <si>
    <t>No.8</t>
  </si>
  <si>
    <t>No.9</t>
  </si>
  <si>
    <t>No.10</t>
  </si>
  <si>
    <t>Average of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</si>
</sst>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4">
    <font>
      <sz val="11"/>
      <color theme="1"/>
      <name val="Calibri"/>
      <family val="2"/>
      <scheme val="minor"/>
    </font>
    <font>
      <b/>
      <sz val="11"/>
      <color theme="1"/>
      <name val="Calibri"/>
      <family val="2"/>
      <scheme val="minor"/>
    </font>
    <font>
      <b/>
      <sz val="18"/>
      <color theme="1"/>
      <name val="Calibri"/>
      <family val="2"/>
      <scheme val="minor"/>
    </font>
    <font>
      <sz val="10"/>
      <color theme="1"/>
      <name val="Arial Unicode MS"/>
    </font>
  </fonts>
  <fills count="4">
    <fill>
      <patternFill patternType="none"/>
    </fill>
    <fill>
      <patternFill patternType="gray125"/>
    </fill>
    <fill>
      <patternFill patternType="solid">
        <fgColor theme="0" tint="-4.9989318521683403E-2"/>
        <bgColor indexed="64"/>
      </patternFill>
    </fill>
    <fill>
      <patternFill patternType="solid">
        <fgColor rgb="FF1DCF9F"/>
        <bgColor indexed="64"/>
      </patternFill>
    </fill>
  </fills>
  <borders count="5">
    <border>
      <left/>
      <right/>
      <top/>
      <bottom/>
      <diagonal/>
    </border>
    <border>
      <left style="thin">
        <color theme="6"/>
      </left>
      <right/>
      <top style="thin">
        <color theme="6"/>
      </top>
      <bottom/>
      <diagonal/>
    </border>
    <border>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s>
  <cellStyleXfs count="1">
    <xf numFmtId="0" fontId="0" fillId="0" borderId="0"/>
  </cellStyleXfs>
  <cellXfs count="15">
    <xf numFmtId="0" fontId="0" fillId="0" borderId="0" xfId="0"/>
    <xf numFmtId="0" fontId="0" fillId="0" borderId="1" xfId="0" applyBorder="1"/>
    <xf numFmtId="0" fontId="0" fillId="0" borderId="2" xfId="0" applyBorder="1"/>
    <xf numFmtId="14" fontId="0" fillId="0" borderId="2" xfId="0" applyNumberFormat="1" applyBorder="1"/>
    <xf numFmtId="0" fontId="0" fillId="0" borderId="3" xfId="0" applyBorder="1"/>
    <xf numFmtId="0" fontId="0" fillId="0" borderId="4" xfId="0" applyBorder="1"/>
    <xf numFmtId="0" fontId="2" fillId="0" borderId="0" xfId="0" applyFont="1" applyAlignment="1">
      <alignment vertical="center"/>
    </xf>
    <xf numFmtId="0" fontId="0" fillId="0" borderId="0" xfId="0" applyAlignment="1">
      <alignment horizontal="left" vertical="center" indent="1"/>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xf numFmtId="0" fontId="0" fillId="2" borderId="0" xfId="0" applyFill="1"/>
    <xf numFmtId="0" fontId="0" fillId="3" borderId="0" xfId="0" applyFill="1"/>
  </cellXfs>
  <cellStyles count="1">
    <cellStyle name="Normal" xfId="0" builtinId="0"/>
  </cellStyles>
  <dxfs count="25">
    <dxf>
      <border diagonalUp="0" diagonalDown="0">
        <left/>
        <right/>
        <top style="thin">
          <color theme="6"/>
        </top>
        <bottom/>
        <vertical/>
        <horizontal/>
      </border>
    </dxf>
    <dxf>
      <border diagonalUp="0" diagonalDown="0">
        <left/>
        <right/>
        <top style="thin">
          <color theme="6"/>
        </top>
        <bottom/>
        <vertical/>
        <horizontal/>
      </border>
    </dxf>
    <dxf>
      <border diagonalUp="0" diagonalDown="0">
        <left/>
        <right/>
        <top style="thin">
          <color theme="6"/>
        </top>
        <bottom/>
        <vertical/>
        <horizontal/>
      </border>
    </dxf>
    <dxf>
      <border diagonalUp="0" diagonalDown="0">
        <left/>
        <right/>
        <top style="thin">
          <color theme="6"/>
        </top>
        <bottom/>
        <vertical/>
        <horizontal/>
      </border>
    </dxf>
    <dxf>
      <border diagonalUp="0" diagonalDown="0">
        <left/>
        <right/>
        <top style="thin">
          <color theme="6"/>
        </top>
        <bottom/>
        <vertical/>
        <horizontal/>
      </border>
    </dxf>
    <dxf>
      <border diagonalUp="0" diagonalDown="0">
        <left/>
        <right/>
        <top style="thin">
          <color theme="6"/>
        </top>
        <bottom/>
        <vertical/>
        <horizontal/>
      </border>
    </dxf>
    <dxf>
      <border diagonalUp="0" diagonalDown="0">
        <left/>
        <right/>
        <top style="thin">
          <color theme="6"/>
        </top>
        <bottom/>
        <vertical/>
        <horizontal/>
      </border>
    </dxf>
    <dxf>
      <border diagonalUp="0" diagonalDown="0">
        <left/>
        <right/>
        <top style="thin">
          <color theme="6"/>
        </top>
        <bottom/>
        <vertical/>
        <horizontal/>
      </border>
    </dxf>
    <dxf>
      <border diagonalUp="0" diagonalDown="0">
        <left/>
        <right/>
        <top style="thin">
          <color theme="6"/>
        </top>
        <bottom/>
        <vertical/>
        <horizontal/>
      </border>
    </dxf>
    <dxf>
      <border diagonalUp="0" diagonalDown="0">
        <left/>
        <right/>
        <top style="thin">
          <color theme="6"/>
        </top>
        <bottom/>
        <vertical/>
        <horizontal/>
      </border>
    </dxf>
    <dxf>
      <border diagonalUp="0" diagonalDown="0">
        <left style="thin">
          <color theme="6"/>
        </left>
        <right/>
        <top style="thin">
          <color theme="6"/>
        </top>
        <bottom/>
        <vertical/>
        <horizontal/>
      </border>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i val="0"/>
        <sz val="12"/>
      </font>
    </dxf>
    <dxf>
      <fill>
        <patternFill>
          <bgColor rgb="FF1DCF9F"/>
        </patternFill>
      </fill>
    </dxf>
  </dxfs>
  <tableStyles count="1" defaultTableStyle="TableStyleMedium2" defaultPivotStyle="PivotStyleLight16">
    <tableStyle name="Slicer Style 1" pivot="0" table="0" count="3" xr9:uid="{263D2435-6D11-4581-A6E7-0705E48E7620}">
      <tableStyleElement type="wholeTable" dxfId="24"/>
      <tableStyleElement type="headerRow" dxfId="23"/>
    </tableStyle>
  </tableStyles>
  <colors>
    <mruColors>
      <color rgb="FF1DCF9F"/>
      <color rgb="FFA6D884"/>
    </mruColors>
  </color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t>Total Transaction By Branch</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c:f>
              <c:strCache>
                <c:ptCount val="1"/>
                <c:pt idx="0">
                  <c:v>Total</c:v>
                </c:pt>
              </c:strCache>
            </c:strRef>
          </c:tx>
          <c:spPr>
            <a:solidFill>
              <a:srgbClr val="1DCF9F"/>
            </a:solidFill>
            <a:ln>
              <a:noFill/>
            </a:ln>
            <a:effectLst/>
          </c:spPr>
          <c:invertIfNegative val="0"/>
          <c:cat>
            <c:strRef>
              <c:f>pivot!$A$4:$A$8</c:f>
              <c:strCache>
                <c:ptCount val="4"/>
                <c:pt idx="0">
                  <c:v>Ibadan</c:v>
                </c:pt>
                <c:pt idx="1">
                  <c:v>Abuja</c:v>
                </c:pt>
                <c:pt idx="2">
                  <c:v>Kano</c:v>
                </c:pt>
                <c:pt idx="3">
                  <c:v>Lagos</c:v>
                </c:pt>
              </c:strCache>
            </c:strRef>
          </c:cat>
          <c:val>
            <c:numRef>
              <c:f>pivot!$B$4:$B$8</c:f>
              <c:numCache>
                <c:formatCode>_(* #,##0_);_(* \(#,##0\);_(* "-"??_);_(@_)</c:formatCode>
                <c:ptCount val="4"/>
                <c:pt idx="0">
                  <c:v>120894</c:v>
                </c:pt>
                <c:pt idx="1">
                  <c:v>113617</c:v>
                </c:pt>
                <c:pt idx="2">
                  <c:v>100223</c:v>
                </c:pt>
                <c:pt idx="3">
                  <c:v>78950</c:v>
                </c:pt>
              </c:numCache>
            </c:numRef>
          </c:val>
          <c:extLst>
            <c:ext xmlns:c16="http://schemas.microsoft.com/office/drawing/2014/chart" uri="{C3380CC4-5D6E-409C-BE32-E72D297353CC}">
              <c16:uniqueId val="{00000000-FAE1-4F9C-A486-CE62F9CD79D5}"/>
            </c:ext>
          </c:extLst>
        </c:ser>
        <c:dLbls>
          <c:showLegendKey val="0"/>
          <c:showVal val="0"/>
          <c:showCatName val="0"/>
          <c:showSerName val="0"/>
          <c:showPercent val="0"/>
          <c:showBubbleSize val="0"/>
        </c:dLbls>
        <c:gapWidth val="150"/>
        <c:overlap val="100"/>
        <c:axId val="1264443231"/>
        <c:axId val="1268278495"/>
      </c:barChart>
      <c:catAx>
        <c:axId val="1264443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68278495"/>
        <c:crosses val="autoZero"/>
        <c:auto val="1"/>
        <c:lblAlgn val="ctr"/>
        <c:lblOffset val="100"/>
        <c:noMultiLvlLbl val="0"/>
      </c:catAx>
      <c:valAx>
        <c:axId val="1268278495"/>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644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CF9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[bankingd Dataset by me.xlsx]pivot!PivotTable3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DCF9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c:f>
              <c:strCache>
                <c:ptCount val="1"/>
                <c:pt idx="0">
                  <c:v>Total</c:v>
                </c:pt>
              </c:strCache>
            </c:strRef>
          </c:tx>
          <c:spPr>
            <a:ln w="28575" cap="rnd">
              <a:solidFill>
                <a:srgbClr val="1DCF9F"/>
              </a:solidFill>
              <a:round/>
            </a:ln>
            <a:effectLst/>
          </c:spPr>
          <c:marker>
            <c:symbol val="none"/>
          </c:marker>
          <c:cat>
            <c:strRef>
              <c:f>pivot!$A$14:$A$19</c:f>
              <c:strCache>
                <c:ptCount val="5"/>
                <c:pt idx="0">
                  <c:v>Jan</c:v>
                </c:pt>
                <c:pt idx="1">
                  <c:v>Feb</c:v>
                </c:pt>
                <c:pt idx="2">
                  <c:v>Mar</c:v>
                </c:pt>
                <c:pt idx="3">
                  <c:v>Apr</c:v>
                </c:pt>
                <c:pt idx="4">
                  <c:v>May</c:v>
                </c:pt>
              </c:strCache>
            </c:strRef>
          </c:cat>
          <c:val>
            <c:numRef>
              <c:f>pivot!$B$14:$B$19</c:f>
              <c:numCache>
                <c:formatCode>_(* #,##0_);_(* \(#,##0\);_(* "-"??_);_(@_)</c:formatCode>
                <c:ptCount val="5"/>
                <c:pt idx="0">
                  <c:v>78300</c:v>
                </c:pt>
                <c:pt idx="1">
                  <c:v>82154</c:v>
                </c:pt>
                <c:pt idx="2">
                  <c:v>89894</c:v>
                </c:pt>
                <c:pt idx="3">
                  <c:v>80382</c:v>
                </c:pt>
                <c:pt idx="4">
                  <c:v>82954</c:v>
                </c:pt>
              </c:numCache>
            </c:numRef>
          </c:val>
          <c:smooth val="0"/>
          <c:extLst>
            <c:ext xmlns:c16="http://schemas.microsoft.com/office/drawing/2014/chart" uri="{C3380CC4-5D6E-409C-BE32-E72D297353CC}">
              <c16:uniqueId val="{00000000-91F9-4B2C-901E-45A86A8F4C99}"/>
            </c:ext>
          </c:extLst>
        </c:ser>
        <c:dLbls>
          <c:showLegendKey val="0"/>
          <c:showVal val="0"/>
          <c:showCatName val="0"/>
          <c:showSerName val="0"/>
          <c:showPercent val="0"/>
          <c:showBubbleSize val="0"/>
        </c:dLbls>
        <c:smooth val="0"/>
        <c:axId val="1264461327"/>
        <c:axId val="993811871"/>
      </c:lineChart>
      <c:catAx>
        <c:axId val="12644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93811871"/>
        <c:crosses val="autoZero"/>
        <c:auto val="1"/>
        <c:lblAlgn val="ctr"/>
        <c:lblOffset val="100"/>
        <c:noMultiLvlLbl val="0"/>
      </c:catAx>
      <c:valAx>
        <c:axId val="99381187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6446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CF9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t>Average Transaction </a:t>
            </a:r>
            <a:r>
              <a:rPr lang="en-US" sz="1400" b="1" i="0" u="none" strike="noStrike" kern="1200" spc="0" baseline="0">
                <a:solidFill>
                  <a:sysClr val="windowText" lastClr="000000">
                    <a:lumMod val="65000"/>
                    <a:lumOff val="35000"/>
                  </a:sysClr>
                </a:solidFill>
              </a:rPr>
              <a:t>Account type</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1DCF9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DCF9F"/>
          </a:solidFill>
          <a:ln w="19050">
            <a:solidFill>
              <a:schemeClr val="lt1"/>
            </a:solidFill>
          </a:ln>
          <a:effectLst/>
        </c:spPr>
      </c:pivotFmt>
      <c:pivotFmt>
        <c:idx val="7"/>
        <c:spPr>
          <a:solidFill>
            <a:schemeClr val="accent6">
              <a:lumMod val="40000"/>
              <a:lumOff val="60000"/>
            </a:schemeClr>
          </a:solidFill>
          <a:ln w="19050">
            <a:solidFill>
              <a:schemeClr val="lt1"/>
            </a:solidFill>
          </a:ln>
          <a:effectLst/>
        </c:spPr>
      </c:pivotFmt>
      <c:pivotFmt>
        <c:idx val="8"/>
        <c:spPr>
          <a:solidFill>
            <a:schemeClr val="accent1">
              <a:lumMod val="40000"/>
              <a:lumOff val="60000"/>
            </a:schemeClr>
          </a:solidFill>
          <a:ln w="19050">
            <a:solidFill>
              <a:schemeClr val="lt1"/>
            </a:solidFill>
          </a:ln>
          <a:effectLst/>
        </c:spPr>
      </c:pivotFmt>
    </c:pivotFmts>
    <c:plotArea>
      <c:layout/>
      <c:doughnutChart>
        <c:varyColors val="1"/>
        <c:ser>
          <c:idx val="0"/>
          <c:order val="0"/>
          <c:tx>
            <c:strRef>
              <c:f>pivot!$B$22</c:f>
              <c:strCache>
                <c:ptCount val="1"/>
                <c:pt idx="0">
                  <c:v>Total</c:v>
                </c:pt>
              </c:strCache>
            </c:strRef>
          </c:tx>
          <c:spPr>
            <a:solidFill>
              <a:srgbClr val="1DCF9F"/>
            </a:solidFill>
          </c:spPr>
          <c:dPt>
            <c:idx val="0"/>
            <c:bubble3D val="0"/>
            <c:spPr>
              <a:solidFill>
                <a:srgbClr val="1DCF9F"/>
              </a:solidFill>
              <a:ln w="19050">
                <a:solidFill>
                  <a:schemeClr val="lt1"/>
                </a:solidFill>
              </a:ln>
              <a:effectLst/>
            </c:spPr>
            <c:extLst>
              <c:ext xmlns:c16="http://schemas.microsoft.com/office/drawing/2014/chart" uri="{C3380CC4-5D6E-409C-BE32-E72D297353CC}">
                <c16:uniqueId val="{00000001-2382-4926-9470-52F5D5C68D85}"/>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2382-4926-9470-52F5D5C68D85}"/>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2382-4926-9470-52F5D5C68D85}"/>
              </c:ext>
            </c:extLst>
          </c:dPt>
          <c:cat>
            <c:strRef>
              <c:f>pivot!$A$23:$A$26</c:f>
              <c:strCache>
                <c:ptCount val="3"/>
                <c:pt idx="0">
                  <c:v>Current</c:v>
                </c:pt>
                <c:pt idx="1">
                  <c:v>Fixed</c:v>
                </c:pt>
                <c:pt idx="2">
                  <c:v>Savings</c:v>
                </c:pt>
              </c:strCache>
            </c:strRef>
          </c:cat>
          <c:val>
            <c:numRef>
              <c:f>pivot!$B$23:$B$26</c:f>
              <c:numCache>
                <c:formatCode>_(* #,##0_);_(* \(#,##0\);_(* "-"??_);_(@_)</c:formatCode>
                <c:ptCount val="3"/>
                <c:pt idx="0">
                  <c:v>2795.3061224489797</c:v>
                </c:pt>
                <c:pt idx="1">
                  <c:v>2768.195652173913</c:v>
                </c:pt>
                <c:pt idx="2">
                  <c:v>2715.9454545454546</c:v>
                </c:pt>
              </c:numCache>
            </c:numRef>
          </c:val>
          <c:extLst>
            <c:ext xmlns:c16="http://schemas.microsoft.com/office/drawing/2014/chart" uri="{C3380CC4-5D6E-409C-BE32-E72D297353CC}">
              <c16:uniqueId val="{00000006-2382-4926-9470-52F5D5C68D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CF9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with active loan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CF9F"/>
          </a:solidFill>
          <a:ln>
            <a:solidFill>
              <a:srgbClr val="1DCF9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DCF9F"/>
          </a:solidFill>
          <a:ln>
            <a:solidFill>
              <a:srgbClr val="1DCF9F"/>
            </a:solidFill>
          </a:ln>
          <a:effectLst/>
        </c:spPr>
      </c:pivotFmt>
    </c:pivotFmts>
    <c:plotArea>
      <c:layout/>
      <c:barChart>
        <c:barDir val="bar"/>
        <c:grouping val="stacked"/>
        <c:varyColors val="0"/>
        <c:ser>
          <c:idx val="0"/>
          <c:order val="0"/>
          <c:tx>
            <c:strRef>
              <c:f>pivot!$B$29</c:f>
              <c:strCache>
                <c:ptCount val="1"/>
                <c:pt idx="0">
                  <c:v>Total</c:v>
                </c:pt>
              </c:strCache>
            </c:strRef>
          </c:tx>
          <c:spPr>
            <a:solidFill>
              <a:srgbClr val="1DCF9F"/>
            </a:solidFill>
            <a:ln>
              <a:solidFill>
                <a:srgbClr val="1DCF9F"/>
              </a:solidFill>
            </a:ln>
            <a:effectLst/>
          </c:spPr>
          <c:invertIfNegative val="0"/>
          <c:cat>
            <c:strRef>
              <c:f>pivot!$A$30:$A$40</c:f>
              <c:strCache>
                <c:ptCount val="10"/>
                <c:pt idx="0">
                  <c:v>Daniel Anderson</c:v>
                </c:pt>
                <c:pt idx="1">
                  <c:v>David Brown</c:v>
                </c:pt>
                <c:pt idx="2">
                  <c:v>Emily Taylor</c:v>
                </c:pt>
                <c:pt idx="3">
                  <c:v>James Jackson</c:v>
                </c:pt>
                <c:pt idx="4">
                  <c:v>John Smith</c:v>
                </c:pt>
                <c:pt idx="5">
                  <c:v>Mary Johnson</c:v>
                </c:pt>
                <c:pt idx="6">
                  <c:v>Michael Wilson</c:v>
                </c:pt>
                <c:pt idx="7">
                  <c:v>Olivia Thomas</c:v>
                </c:pt>
                <c:pt idx="8">
                  <c:v>Sarah Davis</c:v>
                </c:pt>
                <c:pt idx="9">
                  <c:v>Sophia White</c:v>
                </c:pt>
              </c:strCache>
            </c:strRef>
          </c:cat>
          <c:val>
            <c:numRef>
              <c:f>pivot!$B$30:$B$40</c:f>
              <c:numCache>
                <c:formatCode>0.00%</c:formatCode>
                <c:ptCount val="10"/>
                <c:pt idx="0">
                  <c:v>7.3333333333333334E-2</c:v>
                </c:pt>
                <c:pt idx="1">
                  <c:v>0.12666666666666668</c:v>
                </c:pt>
                <c:pt idx="2">
                  <c:v>0.12666666666666668</c:v>
                </c:pt>
                <c:pt idx="3">
                  <c:v>0.1</c:v>
                </c:pt>
                <c:pt idx="4">
                  <c:v>0.12666666666666668</c:v>
                </c:pt>
                <c:pt idx="5">
                  <c:v>9.3333333333333338E-2</c:v>
                </c:pt>
                <c:pt idx="6">
                  <c:v>9.3333333333333338E-2</c:v>
                </c:pt>
                <c:pt idx="7">
                  <c:v>0.10666666666666667</c:v>
                </c:pt>
                <c:pt idx="8">
                  <c:v>8.666666666666667E-2</c:v>
                </c:pt>
                <c:pt idx="9">
                  <c:v>6.6666666666666666E-2</c:v>
                </c:pt>
              </c:numCache>
            </c:numRef>
          </c:val>
          <c:extLst>
            <c:ext xmlns:c16="http://schemas.microsoft.com/office/drawing/2014/chart" uri="{C3380CC4-5D6E-409C-BE32-E72D297353CC}">
              <c16:uniqueId val="{00000000-422E-4BDE-A334-CA1BE2A4C972}"/>
            </c:ext>
          </c:extLst>
        </c:ser>
        <c:dLbls>
          <c:showLegendKey val="0"/>
          <c:showVal val="0"/>
          <c:showCatName val="0"/>
          <c:showSerName val="0"/>
          <c:showPercent val="0"/>
          <c:showBubbleSize val="0"/>
        </c:dLbls>
        <c:gapWidth val="150"/>
        <c:overlap val="100"/>
        <c:axId val="750766207"/>
        <c:axId val="535045231"/>
      </c:barChart>
      <c:catAx>
        <c:axId val="75076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5045231"/>
        <c:crosses val="autoZero"/>
        <c:auto val="1"/>
        <c:lblAlgn val="ctr"/>
        <c:lblOffset val="100"/>
        <c:noMultiLvlLbl val="0"/>
      </c:catAx>
      <c:valAx>
        <c:axId val="5350452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5076620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CF9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 by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pivot!$B$44</c:f>
              <c:strCache>
                <c:ptCount val="1"/>
                <c:pt idx="0">
                  <c:v>Total</c:v>
                </c:pt>
              </c:strCache>
            </c:strRef>
          </c:tx>
          <c:spPr>
            <a:solidFill>
              <a:srgbClr val="1DCF9F"/>
            </a:solidFill>
            <a:ln>
              <a:noFill/>
            </a:ln>
            <a:effectLst/>
          </c:spPr>
          <c:invertIfNegative val="0"/>
          <c:cat>
            <c:strRef>
              <c:f>pivot!$A$45:$A$54</c:f>
              <c:strCache>
                <c:ptCount val="9"/>
                <c:pt idx="0">
                  <c:v>51</c:v>
                </c:pt>
                <c:pt idx="1">
                  <c:v>48</c:v>
                </c:pt>
                <c:pt idx="2">
                  <c:v>24</c:v>
                </c:pt>
                <c:pt idx="3">
                  <c:v>25</c:v>
                </c:pt>
                <c:pt idx="4">
                  <c:v>55</c:v>
                </c:pt>
                <c:pt idx="5">
                  <c:v>28</c:v>
                </c:pt>
                <c:pt idx="6">
                  <c:v>54</c:v>
                </c:pt>
                <c:pt idx="7">
                  <c:v>32</c:v>
                </c:pt>
                <c:pt idx="8">
                  <c:v>23</c:v>
                </c:pt>
              </c:strCache>
            </c:strRef>
          </c:cat>
          <c:val>
            <c:numRef>
              <c:f>pivot!$B$45:$B$54</c:f>
              <c:numCache>
                <c:formatCode>_(* #,##0_);_(* \(#,##0\);_(* "-"??_);_(@_)</c:formatCode>
                <c:ptCount val="9"/>
                <c:pt idx="0">
                  <c:v>298259</c:v>
                </c:pt>
                <c:pt idx="1">
                  <c:v>276861</c:v>
                </c:pt>
                <c:pt idx="2">
                  <c:v>250005</c:v>
                </c:pt>
                <c:pt idx="3">
                  <c:v>242716</c:v>
                </c:pt>
                <c:pt idx="4">
                  <c:v>230261</c:v>
                </c:pt>
                <c:pt idx="5">
                  <c:v>210387</c:v>
                </c:pt>
                <c:pt idx="6">
                  <c:v>200042</c:v>
                </c:pt>
                <c:pt idx="7">
                  <c:v>192837</c:v>
                </c:pt>
                <c:pt idx="8">
                  <c:v>179033</c:v>
                </c:pt>
              </c:numCache>
            </c:numRef>
          </c:val>
          <c:extLst>
            <c:ext xmlns:c16="http://schemas.microsoft.com/office/drawing/2014/chart" uri="{C3380CC4-5D6E-409C-BE32-E72D297353CC}">
              <c16:uniqueId val="{00000000-B444-4B0F-9C59-CBEA27043961}"/>
            </c:ext>
          </c:extLst>
        </c:ser>
        <c:dLbls>
          <c:showLegendKey val="0"/>
          <c:showVal val="0"/>
          <c:showCatName val="0"/>
          <c:showSerName val="0"/>
          <c:showPercent val="0"/>
          <c:showBubbleSize val="0"/>
        </c:dLbls>
        <c:gapWidth val="219"/>
        <c:overlap val="-27"/>
        <c:axId val="763004975"/>
        <c:axId val="534966511"/>
      </c:barChart>
      <c:catAx>
        <c:axId val="7630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4966511"/>
        <c:crosses val="autoZero"/>
        <c:auto val="1"/>
        <c:lblAlgn val="ctr"/>
        <c:lblOffset val="100"/>
        <c:noMultiLvlLbl val="0"/>
      </c:catAx>
      <c:valAx>
        <c:axId val="5349665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630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CF9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Customers with Account balance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pivot!$J$23</c:f>
              <c:strCache>
                <c:ptCount val="1"/>
                <c:pt idx="0">
                  <c:v>Total</c:v>
                </c:pt>
              </c:strCache>
            </c:strRef>
          </c:tx>
          <c:spPr>
            <a:solidFill>
              <a:srgbClr val="1DCF9F"/>
            </a:solidFill>
            <a:ln>
              <a:noFill/>
            </a:ln>
            <a:effectLst/>
          </c:spPr>
          <c:invertIfNegative val="0"/>
          <c:cat>
            <c:strRef>
              <c:f>pivot!$I$24:$I$29</c:f>
              <c:strCache>
                <c:ptCount val="5"/>
                <c:pt idx="0">
                  <c:v>David Brown</c:v>
                </c:pt>
                <c:pt idx="1">
                  <c:v>Emily Taylor</c:v>
                </c:pt>
                <c:pt idx="2">
                  <c:v>John Smith</c:v>
                </c:pt>
                <c:pt idx="3">
                  <c:v>Mary Johnson</c:v>
                </c:pt>
                <c:pt idx="4">
                  <c:v>Olivia Thomas</c:v>
                </c:pt>
              </c:strCache>
            </c:strRef>
          </c:cat>
          <c:val>
            <c:numRef>
              <c:f>pivot!$J$24:$J$29</c:f>
              <c:numCache>
                <c:formatCode>General</c:formatCode>
                <c:ptCount val="5"/>
                <c:pt idx="0">
                  <c:v>214618</c:v>
                </c:pt>
                <c:pt idx="1">
                  <c:v>250005</c:v>
                </c:pt>
                <c:pt idx="2">
                  <c:v>276861</c:v>
                </c:pt>
                <c:pt idx="3">
                  <c:v>230261</c:v>
                </c:pt>
                <c:pt idx="4">
                  <c:v>242716</c:v>
                </c:pt>
              </c:numCache>
            </c:numRef>
          </c:val>
          <c:extLst>
            <c:ext xmlns:c16="http://schemas.microsoft.com/office/drawing/2014/chart" uri="{C3380CC4-5D6E-409C-BE32-E72D297353CC}">
              <c16:uniqueId val="{00000000-7CA3-4E19-901D-5BABA8893349}"/>
            </c:ext>
          </c:extLst>
        </c:ser>
        <c:dLbls>
          <c:showLegendKey val="0"/>
          <c:showVal val="0"/>
          <c:showCatName val="0"/>
          <c:showSerName val="0"/>
          <c:showPercent val="0"/>
          <c:showBubbleSize val="0"/>
        </c:dLbls>
        <c:gapWidth val="219"/>
        <c:overlap val="-27"/>
        <c:axId val="820940367"/>
        <c:axId val="534971791"/>
      </c:barChart>
      <c:catAx>
        <c:axId val="8209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4971791"/>
        <c:crosses val="autoZero"/>
        <c:auto val="1"/>
        <c:lblAlgn val="ctr"/>
        <c:lblOffset val="100"/>
        <c:noMultiLvlLbl val="0"/>
      </c:catAx>
      <c:valAx>
        <c:axId val="5349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094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CF9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Branches</a:t>
            </a:r>
            <a:r>
              <a:rPr lang="en-US" b="1" baseline="0"/>
              <a:t> with  highest loan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18901724056408"/>
          <c:y val="0.17744586242007512"/>
          <c:w val="0.70087384892540294"/>
          <c:h val="0.62072868073542231"/>
        </c:manualLayout>
      </c:layout>
      <c:barChart>
        <c:barDir val="col"/>
        <c:grouping val="clustered"/>
        <c:varyColors val="0"/>
        <c:ser>
          <c:idx val="0"/>
          <c:order val="0"/>
          <c:tx>
            <c:strRef>
              <c:f>pivot!$J$33:$J$34</c:f>
              <c:strCache>
                <c:ptCount val="1"/>
                <c:pt idx="0">
                  <c:v>Yes</c:v>
                </c:pt>
              </c:strCache>
            </c:strRef>
          </c:tx>
          <c:spPr>
            <a:solidFill>
              <a:srgbClr val="1DCF9F"/>
            </a:solidFill>
            <a:ln>
              <a:noFill/>
            </a:ln>
            <a:effectLst/>
          </c:spPr>
          <c:invertIfNegative val="0"/>
          <c:cat>
            <c:strRef>
              <c:f>pivot!$I$35:$I$39</c:f>
              <c:strCache>
                <c:ptCount val="4"/>
                <c:pt idx="0">
                  <c:v>Abuja</c:v>
                </c:pt>
                <c:pt idx="1">
                  <c:v>Ibadan</c:v>
                </c:pt>
                <c:pt idx="2">
                  <c:v>Kano</c:v>
                </c:pt>
                <c:pt idx="3">
                  <c:v>Lagos</c:v>
                </c:pt>
              </c:strCache>
            </c:strRef>
          </c:cat>
          <c:val>
            <c:numRef>
              <c:f>pivot!$J$35:$J$39</c:f>
              <c:numCache>
                <c:formatCode>General</c:formatCode>
                <c:ptCount val="4"/>
                <c:pt idx="0">
                  <c:v>18</c:v>
                </c:pt>
                <c:pt idx="1">
                  <c:v>23</c:v>
                </c:pt>
                <c:pt idx="2">
                  <c:v>17</c:v>
                </c:pt>
                <c:pt idx="3">
                  <c:v>17</c:v>
                </c:pt>
              </c:numCache>
            </c:numRef>
          </c:val>
          <c:extLst>
            <c:ext xmlns:c16="http://schemas.microsoft.com/office/drawing/2014/chart" uri="{C3380CC4-5D6E-409C-BE32-E72D297353CC}">
              <c16:uniqueId val="{00000000-BBB0-4F62-B6E9-E4DAA1AC4201}"/>
            </c:ext>
          </c:extLst>
        </c:ser>
        <c:dLbls>
          <c:showLegendKey val="0"/>
          <c:showVal val="0"/>
          <c:showCatName val="0"/>
          <c:showSerName val="0"/>
          <c:showPercent val="0"/>
          <c:showBubbleSize val="0"/>
        </c:dLbls>
        <c:gapWidth val="219"/>
        <c:overlap val="-27"/>
        <c:axId val="817664127"/>
        <c:axId val="535040911"/>
      </c:barChart>
      <c:catAx>
        <c:axId val="8176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5040911"/>
        <c:crosses val="autoZero"/>
        <c:auto val="1"/>
        <c:lblAlgn val="ctr"/>
        <c:lblOffset val="100"/>
        <c:noMultiLvlLbl val="0"/>
      </c:catAx>
      <c:valAx>
        <c:axId val="53504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1766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CF9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DCF9F"/>
          </a:solidFill>
          <a:ln>
            <a:solidFill>
              <a:srgbClr val="1DCF9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23403324584426"/>
          <c:y val="5.5555555555555552E-2"/>
          <c:w val="0.80201982261817639"/>
          <c:h val="0.69911344415281418"/>
        </c:manualLayout>
      </c:layout>
      <c:barChart>
        <c:barDir val="col"/>
        <c:grouping val="clustered"/>
        <c:varyColors val="0"/>
        <c:ser>
          <c:idx val="0"/>
          <c:order val="0"/>
          <c:tx>
            <c:strRef>
              <c:f>pivot!$J$3</c:f>
              <c:strCache>
                <c:ptCount val="1"/>
                <c:pt idx="0">
                  <c:v>Sum of transation-amount</c:v>
                </c:pt>
              </c:strCache>
            </c:strRef>
          </c:tx>
          <c:spPr>
            <a:solidFill>
              <a:srgbClr val="1DCF9F"/>
            </a:solidFill>
            <a:ln>
              <a:solidFill>
                <a:srgbClr val="1DCF9F"/>
              </a:solidFill>
            </a:ln>
            <a:effectLst/>
          </c:spPr>
          <c:invertIfNegative val="0"/>
          <c:cat>
            <c:multiLvlStrRef>
              <c:f>pivot!$I$4:$I$19</c:f>
              <c:multiLvlStrCache>
                <c:ptCount val="12"/>
                <c:lvl>
                  <c:pt idx="0">
                    <c:v>Abuja</c:v>
                  </c:pt>
                  <c:pt idx="1">
                    <c:v>Ibadan</c:v>
                  </c:pt>
                  <c:pt idx="2">
                    <c:v>Kano</c:v>
                  </c:pt>
                  <c:pt idx="3">
                    <c:v>Lagos</c:v>
                  </c:pt>
                  <c:pt idx="4">
                    <c:v>Abuja</c:v>
                  </c:pt>
                  <c:pt idx="5">
                    <c:v>Ibadan</c:v>
                  </c:pt>
                  <c:pt idx="6">
                    <c:v>Kano</c:v>
                  </c:pt>
                  <c:pt idx="7">
                    <c:v>Lagos</c:v>
                  </c:pt>
                  <c:pt idx="8">
                    <c:v>Abuja</c:v>
                  </c:pt>
                  <c:pt idx="9">
                    <c:v>Ibadan</c:v>
                  </c:pt>
                  <c:pt idx="10">
                    <c:v>Kano</c:v>
                  </c:pt>
                  <c:pt idx="11">
                    <c:v>Lagos</c:v>
                  </c:pt>
                </c:lvl>
                <c:lvl>
                  <c:pt idx="0">
                    <c:v>Deposit</c:v>
                  </c:pt>
                  <c:pt idx="4">
                    <c:v>Transfer</c:v>
                  </c:pt>
                  <c:pt idx="8">
                    <c:v>Withdrawal</c:v>
                  </c:pt>
                </c:lvl>
              </c:multiLvlStrCache>
            </c:multiLvlStrRef>
          </c:cat>
          <c:val>
            <c:numRef>
              <c:f>pivot!$J$4:$J$19</c:f>
              <c:numCache>
                <c:formatCode>_(* #,##0_);_(* \(#,##0\);_(* "-"??_);_(@_)</c:formatCode>
                <c:ptCount val="12"/>
                <c:pt idx="0">
                  <c:v>33459</c:v>
                </c:pt>
                <c:pt idx="1">
                  <c:v>45134</c:v>
                </c:pt>
                <c:pt idx="2">
                  <c:v>46427</c:v>
                </c:pt>
                <c:pt idx="3">
                  <c:v>28040</c:v>
                </c:pt>
                <c:pt idx="4">
                  <c:v>40828</c:v>
                </c:pt>
                <c:pt idx="5">
                  <c:v>42236</c:v>
                </c:pt>
                <c:pt idx="6">
                  <c:v>27154</c:v>
                </c:pt>
                <c:pt idx="7">
                  <c:v>24601</c:v>
                </c:pt>
                <c:pt idx="8">
                  <c:v>39330</c:v>
                </c:pt>
                <c:pt idx="9">
                  <c:v>33524</c:v>
                </c:pt>
                <c:pt idx="10">
                  <c:v>26642</c:v>
                </c:pt>
                <c:pt idx="11">
                  <c:v>26309</c:v>
                </c:pt>
              </c:numCache>
            </c:numRef>
          </c:val>
          <c:extLst>
            <c:ext xmlns:c16="http://schemas.microsoft.com/office/drawing/2014/chart" uri="{C3380CC4-5D6E-409C-BE32-E72D297353CC}">
              <c16:uniqueId val="{00000000-8E04-4828-AEE4-3626E7F6B396}"/>
            </c:ext>
          </c:extLst>
        </c:ser>
        <c:ser>
          <c:idx val="1"/>
          <c:order val="1"/>
          <c:tx>
            <c:strRef>
              <c:f>pivot!$K$3</c:f>
              <c:strCache>
                <c:ptCount val="1"/>
                <c:pt idx="0">
                  <c:v>Count of State</c:v>
                </c:pt>
              </c:strCache>
            </c:strRef>
          </c:tx>
          <c:spPr>
            <a:solidFill>
              <a:schemeClr val="accent2"/>
            </a:solidFill>
            <a:ln>
              <a:noFill/>
            </a:ln>
            <a:effectLst/>
          </c:spPr>
          <c:invertIfNegative val="0"/>
          <c:cat>
            <c:multiLvlStrRef>
              <c:f>pivot!$I$4:$I$19</c:f>
              <c:multiLvlStrCache>
                <c:ptCount val="12"/>
                <c:lvl>
                  <c:pt idx="0">
                    <c:v>Abuja</c:v>
                  </c:pt>
                  <c:pt idx="1">
                    <c:v>Ibadan</c:v>
                  </c:pt>
                  <c:pt idx="2">
                    <c:v>Kano</c:v>
                  </c:pt>
                  <c:pt idx="3">
                    <c:v>Lagos</c:v>
                  </c:pt>
                  <c:pt idx="4">
                    <c:v>Abuja</c:v>
                  </c:pt>
                  <c:pt idx="5">
                    <c:v>Ibadan</c:v>
                  </c:pt>
                  <c:pt idx="6">
                    <c:v>Kano</c:v>
                  </c:pt>
                  <c:pt idx="7">
                    <c:v>Lagos</c:v>
                  </c:pt>
                  <c:pt idx="8">
                    <c:v>Abuja</c:v>
                  </c:pt>
                  <c:pt idx="9">
                    <c:v>Ibadan</c:v>
                  </c:pt>
                  <c:pt idx="10">
                    <c:v>Kano</c:v>
                  </c:pt>
                  <c:pt idx="11">
                    <c:v>Lagos</c:v>
                  </c:pt>
                </c:lvl>
                <c:lvl>
                  <c:pt idx="0">
                    <c:v>Deposit</c:v>
                  </c:pt>
                  <c:pt idx="4">
                    <c:v>Transfer</c:v>
                  </c:pt>
                  <c:pt idx="8">
                    <c:v>Withdrawal</c:v>
                  </c:pt>
                </c:lvl>
              </c:multiLvlStrCache>
            </c:multiLvlStrRef>
          </c:cat>
          <c:val>
            <c:numRef>
              <c:f>pivot!$K$4:$K$19</c:f>
              <c:numCache>
                <c:formatCode>_(* #,##0_);_(* \(#,##0\);_(* "-"??_);_(@_)</c:formatCode>
                <c:ptCount val="12"/>
                <c:pt idx="0">
                  <c:v>13</c:v>
                </c:pt>
                <c:pt idx="1">
                  <c:v>13</c:v>
                </c:pt>
                <c:pt idx="2">
                  <c:v>16</c:v>
                </c:pt>
                <c:pt idx="3">
                  <c:v>11</c:v>
                </c:pt>
                <c:pt idx="4">
                  <c:v>14</c:v>
                </c:pt>
                <c:pt idx="5">
                  <c:v>17</c:v>
                </c:pt>
                <c:pt idx="6">
                  <c:v>10</c:v>
                </c:pt>
                <c:pt idx="7">
                  <c:v>9</c:v>
                </c:pt>
                <c:pt idx="8">
                  <c:v>14</c:v>
                </c:pt>
                <c:pt idx="9">
                  <c:v>13</c:v>
                </c:pt>
                <c:pt idx="10">
                  <c:v>10</c:v>
                </c:pt>
                <c:pt idx="11">
                  <c:v>10</c:v>
                </c:pt>
              </c:numCache>
            </c:numRef>
          </c:val>
          <c:extLst>
            <c:ext xmlns:c16="http://schemas.microsoft.com/office/drawing/2014/chart" uri="{C3380CC4-5D6E-409C-BE32-E72D297353CC}">
              <c16:uniqueId val="{00000001-8E04-4828-AEE4-3626E7F6B396}"/>
            </c:ext>
          </c:extLst>
        </c:ser>
        <c:dLbls>
          <c:showLegendKey val="0"/>
          <c:showVal val="0"/>
          <c:showCatName val="0"/>
          <c:showSerName val="0"/>
          <c:showPercent val="0"/>
          <c:showBubbleSize val="0"/>
        </c:dLbls>
        <c:gapWidth val="219"/>
        <c:overlap val="-27"/>
        <c:axId val="815498863"/>
        <c:axId val="534931471"/>
      </c:barChart>
      <c:catAx>
        <c:axId val="81549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4931471"/>
        <c:crosses val="autoZero"/>
        <c:auto val="1"/>
        <c:lblAlgn val="ctr"/>
        <c:lblOffset val="100"/>
        <c:noMultiLvlLbl val="0"/>
      </c:catAx>
      <c:valAx>
        <c:axId val="53493147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1549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DCF9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Ibadan</c:v>
                </c:pt>
                <c:pt idx="1">
                  <c:v>Abuja</c:v>
                </c:pt>
                <c:pt idx="2">
                  <c:v>Kano</c:v>
                </c:pt>
                <c:pt idx="3">
                  <c:v>Lagos</c:v>
                </c:pt>
              </c:strCache>
            </c:strRef>
          </c:cat>
          <c:val>
            <c:numRef>
              <c:f>pivot!$B$4:$B$8</c:f>
              <c:numCache>
                <c:formatCode>_(* #,##0_);_(* \(#,##0\);_(* "-"??_);_(@_)</c:formatCode>
                <c:ptCount val="4"/>
                <c:pt idx="0">
                  <c:v>120894</c:v>
                </c:pt>
                <c:pt idx="1">
                  <c:v>113617</c:v>
                </c:pt>
                <c:pt idx="2">
                  <c:v>100223</c:v>
                </c:pt>
                <c:pt idx="3">
                  <c:v>78950</c:v>
                </c:pt>
              </c:numCache>
            </c:numRef>
          </c:val>
          <c:extLst>
            <c:ext xmlns:c16="http://schemas.microsoft.com/office/drawing/2014/chart" uri="{C3380CC4-5D6E-409C-BE32-E72D297353CC}">
              <c16:uniqueId val="{00000000-045D-4A6D-B5A4-550FF30D258F}"/>
            </c:ext>
          </c:extLst>
        </c:ser>
        <c:dLbls>
          <c:showLegendKey val="0"/>
          <c:showVal val="0"/>
          <c:showCatName val="0"/>
          <c:showSerName val="0"/>
          <c:showPercent val="0"/>
          <c:showBubbleSize val="0"/>
        </c:dLbls>
        <c:gapWidth val="150"/>
        <c:overlap val="100"/>
        <c:axId val="1264443231"/>
        <c:axId val="1268278495"/>
      </c:barChart>
      <c:catAx>
        <c:axId val="12644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78495"/>
        <c:crosses val="autoZero"/>
        <c:auto val="1"/>
        <c:lblAlgn val="ctr"/>
        <c:lblOffset val="100"/>
        <c:noMultiLvlLbl val="0"/>
      </c:catAx>
      <c:valAx>
        <c:axId val="126827849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c:f>
              <c:strCache>
                <c:ptCount val="1"/>
                <c:pt idx="0">
                  <c:v>Total</c:v>
                </c:pt>
              </c:strCache>
            </c:strRef>
          </c:tx>
          <c:spPr>
            <a:ln w="28575" cap="rnd">
              <a:solidFill>
                <a:schemeClr val="accent1"/>
              </a:solidFill>
              <a:round/>
            </a:ln>
            <a:effectLst/>
          </c:spPr>
          <c:marker>
            <c:symbol val="none"/>
          </c:marker>
          <c:cat>
            <c:strRef>
              <c:f>pivot!$A$14:$A$19</c:f>
              <c:strCache>
                <c:ptCount val="5"/>
                <c:pt idx="0">
                  <c:v>Jan</c:v>
                </c:pt>
                <c:pt idx="1">
                  <c:v>Feb</c:v>
                </c:pt>
                <c:pt idx="2">
                  <c:v>Mar</c:v>
                </c:pt>
                <c:pt idx="3">
                  <c:v>Apr</c:v>
                </c:pt>
                <c:pt idx="4">
                  <c:v>May</c:v>
                </c:pt>
              </c:strCache>
            </c:strRef>
          </c:cat>
          <c:val>
            <c:numRef>
              <c:f>pivot!$B$14:$B$19</c:f>
              <c:numCache>
                <c:formatCode>_(* #,##0_);_(* \(#,##0\);_(* "-"??_);_(@_)</c:formatCode>
                <c:ptCount val="5"/>
                <c:pt idx="0">
                  <c:v>78300</c:v>
                </c:pt>
                <c:pt idx="1">
                  <c:v>82154</c:v>
                </c:pt>
                <c:pt idx="2">
                  <c:v>89894</c:v>
                </c:pt>
                <c:pt idx="3">
                  <c:v>80382</c:v>
                </c:pt>
                <c:pt idx="4">
                  <c:v>82954</c:v>
                </c:pt>
              </c:numCache>
            </c:numRef>
          </c:val>
          <c:smooth val="0"/>
          <c:extLst>
            <c:ext xmlns:c16="http://schemas.microsoft.com/office/drawing/2014/chart" uri="{C3380CC4-5D6E-409C-BE32-E72D297353CC}">
              <c16:uniqueId val="{00000000-5723-4325-A93C-4B4F49F22E88}"/>
            </c:ext>
          </c:extLst>
        </c:ser>
        <c:dLbls>
          <c:showLegendKey val="0"/>
          <c:showVal val="0"/>
          <c:showCatName val="0"/>
          <c:showSerName val="0"/>
          <c:showPercent val="0"/>
          <c:showBubbleSize val="0"/>
        </c:dLbls>
        <c:smooth val="0"/>
        <c:axId val="1264461327"/>
        <c:axId val="993811871"/>
      </c:lineChart>
      <c:catAx>
        <c:axId val="12644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11871"/>
        <c:crosses val="autoZero"/>
        <c:auto val="1"/>
        <c:lblAlgn val="ctr"/>
        <c:lblOffset val="100"/>
        <c:noMultiLvlLbl val="0"/>
      </c:catAx>
      <c:valAx>
        <c:axId val="993811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6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75-4255-B840-38B2637A51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68-4402-B1F0-B61E576F40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68-4402-B1F0-B61E576F40DB}"/>
              </c:ext>
            </c:extLst>
          </c:dPt>
          <c:cat>
            <c:strRef>
              <c:f>pivot!$A$23:$A$26</c:f>
              <c:strCache>
                <c:ptCount val="3"/>
                <c:pt idx="0">
                  <c:v>Current</c:v>
                </c:pt>
                <c:pt idx="1">
                  <c:v>Fixed</c:v>
                </c:pt>
                <c:pt idx="2">
                  <c:v>Savings</c:v>
                </c:pt>
              </c:strCache>
            </c:strRef>
          </c:cat>
          <c:val>
            <c:numRef>
              <c:f>pivot!$B$23:$B$26</c:f>
              <c:numCache>
                <c:formatCode>_(* #,##0_);_(* \(#,##0\);_(* "-"??_);_(@_)</c:formatCode>
                <c:ptCount val="3"/>
                <c:pt idx="0">
                  <c:v>2795.3061224489797</c:v>
                </c:pt>
                <c:pt idx="1">
                  <c:v>2768.195652173913</c:v>
                </c:pt>
                <c:pt idx="2">
                  <c:v>2715.9454545454546</c:v>
                </c:pt>
              </c:numCache>
            </c:numRef>
          </c:val>
          <c:extLst>
            <c:ext xmlns:c16="http://schemas.microsoft.com/office/drawing/2014/chart" uri="{C3380CC4-5D6E-409C-BE32-E72D297353CC}">
              <c16:uniqueId val="{00000000-13CD-49F7-90B4-393CC7D16C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pivot!$B$29</c:f>
              <c:strCache>
                <c:ptCount val="1"/>
                <c:pt idx="0">
                  <c:v>Total</c:v>
                </c:pt>
              </c:strCache>
            </c:strRef>
          </c:tx>
          <c:spPr>
            <a:solidFill>
              <a:schemeClr val="accent1"/>
            </a:solidFill>
            <a:ln>
              <a:noFill/>
            </a:ln>
            <a:effectLst/>
          </c:spPr>
          <c:invertIfNegative val="0"/>
          <c:cat>
            <c:strRef>
              <c:f>pivot!$A$30:$A$40</c:f>
              <c:strCache>
                <c:ptCount val="10"/>
                <c:pt idx="0">
                  <c:v>Daniel Anderson</c:v>
                </c:pt>
                <c:pt idx="1">
                  <c:v>David Brown</c:v>
                </c:pt>
                <c:pt idx="2">
                  <c:v>Emily Taylor</c:v>
                </c:pt>
                <c:pt idx="3">
                  <c:v>James Jackson</c:v>
                </c:pt>
                <c:pt idx="4">
                  <c:v>John Smith</c:v>
                </c:pt>
                <c:pt idx="5">
                  <c:v>Mary Johnson</c:v>
                </c:pt>
                <c:pt idx="6">
                  <c:v>Michael Wilson</c:v>
                </c:pt>
                <c:pt idx="7">
                  <c:v>Olivia Thomas</c:v>
                </c:pt>
                <c:pt idx="8">
                  <c:v>Sarah Davis</c:v>
                </c:pt>
                <c:pt idx="9">
                  <c:v>Sophia White</c:v>
                </c:pt>
              </c:strCache>
            </c:strRef>
          </c:cat>
          <c:val>
            <c:numRef>
              <c:f>pivot!$B$30:$B$40</c:f>
              <c:numCache>
                <c:formatCode>0.00%</c:formatCode>
                <c:ptCount val="10"/>
                <c:pt idx="0">
                  <c:v>7.3333333333333334E-2</c:v>
                </c:pt>
                <c:pt idx="1">
                  <c:v>0.12666666666666668</c:v>
                </c:pt>
                <c:pt idx="2">
                  <c:v>0.12666666666666668</c:v>
                </c:pt>
                <c:pt idx="3">
                  <c:v>0.1</c:v>
                </c:pt>
                <c:pt idx="4">
                  <c:v>0.12666666666666668</c:v>
                </c:pt>
                <c:pt idx="5">
                  <c:v>9.3333333333333338E-2</c:v>
                </c:pt>
                <c:pt idx="6">
                  <c:v>9.3333333333333338E-2</c:v>
                </c:pt>
                <c:pt idx="7">
                  <c:v>0.10666666666666667</c:v>
                </c:pt>
                <c:pt idx="8">
                  <c:v>8.666666666666667E-2</c:v>
                </c:pt>
                <c:pt idx="9">
                  <c:v>6.6666666666666666E-2</c:v>
                </c:pt>
              </c:numCache>
            </c:numRef>
          </c:val>
          <c:extLst>
            <c:ext xmlns:c16="http://schemas.microsoft.com/office/drawing/2014/chart" uri="{C3380CC4-5D6E-409C-BE32-E72D297353CC}">
              <c16:uniqueId val="{00000000-DB83-410B-A94A-65A8368EBAF3}"/>
            </c:ext>
          </c:extLst>
        </c:ser>
        <c:dLbls>
          <c:showLegendKey val="0"/>
          <c:showVal val="0"/>
          <c:showCatName val="0"/>
          <c:showSerName val="0"/>
          <c:showPercent val="0"/>
          <c:showBubbleSize val="0"/>
        </c:dLbls>
        <c:gapWidth val="150"/>
        <c:overlap val="100"/>
        <c:axId val="750766207"/>
        <c:axId val="535045231"/>
      </c:barChart>
      <c:catAx>
        <c:axId val="75076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45231"/>
        <c:crosses val="autoZero"/>
        <c:auto val="1"/>
        <c:lblAlgn val="ctr"/>
        <c:lblOffset val="100"/>
        <c:noMultiLvlLbl val="0"/>
      </c:catAx>
      <c:valAx>
        <c:axId val="5350452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6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pivot!$B$44</c:f>
              <c:strCache>
                <c:ptCount val="1"/>
                <c:pt idx="0">
                  <c:v>Total</c:v>
                </c:pt>
              </c:strCache>
            </c:strRef>
          </c:tx>
          <c:spPr>
            <a:solidFill>
              <a:schemeClr val="accent1"/>
            </a:solidFill>
            <a:ln>
              <a:noFill/>
            </a:ln>
            <a:effectLst/>
          </c:spPr>
          <c:invertIfNegative val="0"/>
          <c:cat>
            <c:strRef>
              <c:f>pivot!$A$45:$A$54</c:f>
              <c:strCache>
                <c:ptCount val="9"/>
                <c:pt idx="0">
                  <c:v>51</c:v>
                </c:pt>
                <c:pt idx="1">
                  <c:v>48</c:v>
                </c:pt>
                <c:pt idx="2">
                  <c:v>24</c:v>
                </c:pt>
                <c:pt idx="3">
                  <c:v>25</c:v>
                </c:pt>
                <c:pt idx="4">
                  <c:v>55</c:v>
                </c:pt>
                <c:pt idx="5">
                  <c:v>28</c:v>
                </c:pt>
                <c:pt idx="6">
                  <c:v>54</c:v>
                </c:pt>
                <c:pt idx="7">
                  <c:v>32</c:v>
                </c:pt>
                <c:pt idx="8">
                  <c:v>23</c:v>
                </c:pt>
              </c:strCache>
            </c:strRef>
          </c:cat>
          <c:val>
            <c:numRef>
              <c:f>pivot!$B$45:$B$54</c:f>
              <c:numCache>
                <c:formatCode>_(* #,##0_);_(* \(#,##0\);_(* "-"??_);_(@_)</c:formatCode>
                <c:ptCount val="9"/>
                <c:pt idx="0">
                  <c:v>298259</c:v>
                </c:pt>
                <c:pt idx="1">
                  <c:v>276861</c:v>
                </c:pt>
                <c:pt idx="2">
                  <c:v>250005</c:v>
                </c:pt>
                <c:pt idx="3">
                  <c:v>242716</c:v>
                </c:pt>
                <c:pt idx="4">
                  <c:v>230261</c:v>
                </c:pt>
                <c:pt idx="5">
                  <c:v>210387</c:v>
                </c:pt>
                <c:pt idx="6">
                  <c:v>200042</c:v>
                </c:pt>
                <c:pt idx="7">
                  <c:v>192837</c:v>
                </c:pt>
                <c:pt idx="8">
                  <c:v>179033</c:v>
                </c:pt>
              </c:numCache>
            </c:numRef>
          </c:val>
          <c:extLst>
            <c:ext xmlns:c16="http://schemas.microsoft.com/office/drawing/2014/chart" uri="{C3380CC4-5D6E-409C-BE32-E72D297353CC}">
              <c16:uniqueId val="{00000000-4180-45E4-8431-06AF293E4007}"/>
            </c:ext>
          </c:extLst>
        </c:ser>
        <c:dLbls>
          <c:showLegendKey val="0"/>
          <c:showVal val="0"/>
          <c:showCatName val="0"/>
          <c:showSerName val="0"/>
          <c:showPercent val="0"/>
          <c:showBubbleSize val="0"/>
        </c:dLbls>
        <c:gapWidth val="219"/>
        <c:overlap val="-27"/>
        <c:axId val="763004975"/>
        <c:axId val="534966511"/>
      </c:barChart>
      <c:catAx>
        <c:axId val="7630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66511"/>
        <c:crosses val="autoZero"/>
        <c:auto val="1"/>
        <c:lblAlgn val="ctr"/>
        <c:lblOffset val="100"/>
        <c:noMultiLvlLbl val="0"/>
      </c:catAx>
      <c:valAx>
        <c:axId val="5349665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00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pivot!$J$23</c:f>
              <c:strCache>
                <c:ptCount val="1"/>
                <c:pt idx="0">
                  <c:v>Total</c:v>
                </c:pt>
              </c:strCache>
            </c:strRef>
          </c:tx>
          <c:spPr>
            <a:solidFill>
              <a:schemeClr val="accent1"/>
            </a:solidFill>
            <a:ln>
              <a:noFill/>
            </a:ln>
            <a:effectLst/>
          </c:spPr>
          <c:invertIfNegative val="0"/>
          <c:cat>
            <c:strRef>
              <c:f>pivot!$I$24:$I$29</c:f>
              <c:strCache>
                <c:ptCount val="5"/>
                <c:pt idx="0">
                  <c:v>David Brown</c:v>
                </c:pt>
                <c:pt idx="1">
                  <c:v>Emily Taylor</c:v>
                </c:pt>
                <c:pt idx="2">
                  <c:v>John Smith</c:v>
                </c:pt>
                <c:pt idx="3">
                  <c:v>Mary Johnson</c:v>
                </c:pt>
                <c:pt idx="4">
                  <c:v>Olivia Thomas</c:v>
                </c:pt>
              </c:strCache>
            </c:strRef>
          </c:cat>
          <c:val>
            <c:numRef>
              <c:f>pivot!$J$24:$J$29</c:f>
              <c:numCache>
                <c:formatCode>General</c:formatCode>
                <c:ptCount val="5"/>
                <c:pt idx="0">
                  <c:v>214618</c:v>
                </c:pt>
                <c:pt idx="1">
                  <c:v>250005</c:v>
                </c:pt>
                <c:pt idx="2">
                  <c:v>276861</c:v>
                </c:pt>
                <c:pt idx="3">
                  <c:v>230261</c:v>
                </c:pt>
                <c:pt idx="4">
                  <c:v>242716</c:v>
                </c:pt>
              </c:numCache>
            </c:numRef>
          </c:val>
          <c:extLst>
            <c:ext xmlns:c16="http://schemas.microsoft.com/office/drawing/2014/chart" uri="{C3380CC4-5D6E-409C-BE32-E72D297353CC}">
              <c16:uniqueId val="{00000000-CEEC-4F3B-959F-E910E55AEF07}"/>
            </c:ext>
          </c:extLst>
        </c:ser>
        <c:dLbls>
          <c:showLegendKey val="0"/>
          <c:showVal val="0"/>
          <c:showCatName val="0"/>
          <c:showSerName val="0"/>
          <c:showPercent val="0"/>
          <c:showBubbleSize val="0"/>
        </c:dLbls>
        <c:gapWidth val="219"/>
        <c:overlap val="-27"/>
        <c:axId val="820940367"/>
        <c:axId val="534971791"/>
      </c:barChart>
      <c:catAx>
        <c:axId val="8209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71791"/>
        <c:crosses val="autoZero"/>
        <c:auto val="1"/>
        <c:lblAlgn val="ctr"/>
        <c:lblOffset val="100"/>
        <c:noMultiLvlLbl val="0"/>
      </c:catAx>
      <c:valAx>
        <c:axId val="53497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4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c:f>
              <c:strCache>
                <c:ptCount val="1"/>
                <c:pt idx="0">
                  <c:v>Sum of transation-amount</c:v>
                </c:pt>
              </c:strCache>
            </c:strRef>
          </c:tx>
          <c:spPr>
            <a:solidFill>
              <a:schemeClr val="accent1"/>
            </a:solidFill>
            <a:ln>
              <a:noFill/>
            </a:ln>
            <a:effectLst/>
          </c:spPr>
          <c:invertIfNegative val="0"/>
          <c:cat>
            <c:multiLvlStrRef>
              <c:f>pivot!$I$4:$I$19</c:f>
              <c:multiLvlStrCache>
                <c:ptCount val="12"/>
                <c:lvl>
                  <c:pt idx="0">
                    <c:v>Abuja</c:v>
                  </c:pt>
                  <c:pt idx="1">
                    <c:v>Ibadan</c:v>
                  </c:pt>
                  <c:pt idx="2">
                    <c:v>Kano</c:v>
                  </c:pt>
                  <c:pt idx="3">
                    <c:v>Lagos</c:v>
                  </c:pt>
                  <c:pt idx="4">
                    <c:v>Abuja</c:v>
                  </c:pt>
                  <c:pt idx="5">
                    <c:v>Ibadan</c:v>
                  </c:pt>
                  <c:pt idx="6">
                    <c:v>Kano</c:v>
                  </c:pt>
                  <c:pt idx="7">
                    <c:v>Lagos</c:v>
                  </c:pt>
                  <c:pt idx="8">
                    <c:v>Abuja</c:v>
                  </c:pt>
                  <c:pt idx="9">
                    <c:v>Ibadan</c:v>
                  </c:pt>
                  <c:pt idx="10">
                    <c:v>Kano</c:v>
                  </c:pt>
                  <c:pt idx="11">
                    <c:v>Lagos</c:v>
                  </c:pt>
                </c:lvl>
                <c:lvl>
                  <c:pt idx="0">
                    <c:v>Deposit</c:v>
                  </c:pt>
                  <c:pt idx="4">
                    <c:v>Transfer</c:v>
                  </c:pt>
                  <c:pt idx="8">
                    <c:v>Withdrawal</c:v>
                  </c:pt>
                </c:lvl>
              </c:multiLvlStrCache>
            </c:multiLvlStrRef>
          </c:cat>
          <c:val>
            <c:numRef>
              <c:f>pivot!$J$4:$J$19</c:f>
              <c:numCache>
                <c:formatCode>_(* #,##0_);_(* \(#,##0\);_(* "-"??_);_(@_)</c:formatCode>
                <c:ptCount val="12"/>
                <c:pt idx="0">
                  <c:v>33459</c:v>
                </c:pt>
                <c:pt idx="1">
                  <c:v>45134</c:v>
                </c:pt>
                <c:pt idx="2">
                  <c:v>46427</c:v>
                </c:pt>
                <c:pt idx="3">
                  <c:v>28040</c:v>
                </c:pt>
                <c:pt idx="4">
                  <c:v>40828</c:v>
                </c:pt>
                <c:pt idx="5">
                  <c:v>42236</c:v>
                </c:pt>
                <c:pt idx="6">
                  <c:v>27154</c:v>
                </c:pt>
                <c:pt idx="7">
                  <c:v>24601</c:v>
                </c:pt>
                <c:pt idx="8">
                  <c:v>39330</c:v>
                </c:pt>
                <c:pt idx="9">
                  <c:v>33524</c:v>
                </c:pt>
                <c:pt idx="10">
                  <c:v>26642</c:v>
                </c:pt>
                <c:pt idx="11">
                  <c:v>26309</c:v>
                </c:pt>
              </c:numCache>
            </c:numRef>
          </c:val>
          <c:extLst>
            <c:ext xmlns:c16="http://schemas.microsoft.com/office/drawing/2014/chart" uri="{C3380CC4-5D6E-409C-BE32-E72D297353CC}">
              <c16:uniqueId val="{00000000-36D3-42F9-B5D8-5D8B60629A1A}"/>
            </c:ext>
          </c:extLst>
        </c:ser>
        <c:ser>
          <c:idx val="1"/>
          <c:order val="1"/>
          <c:tx>
            <c:strRef>
              <c:f>pivot!$K$3</c:f>
              <c:strCache>
                <c:ptCount val="1"/>
                <c:pt idx="0">
                  <c:v>Count of State</c:v>
                </c:pt>
              </c:strCache>
            </c:strRef>
          </c:tx>
          <c:spPr>
            <a:solidFill>
              <a:schemeClr val="accent2"/>
            </a:solidFill>
            <a:ln>
              <a:noFill/>
            </a:ln>
            <a:effectLst/>
          </c:spPr>
          <c:invertIfNegative val="0"/>
          <c:cat>
            <c:multiLvlStrRef>
              <c:f>pivot!$I$4:$I$19</c:f>
              <c:multiLvlStrCache>
                <c:ptCount val="12"/>
                <c:lvl>
                  <c:pt idx="0">
                    <c:v>Abuja</c:v>
                  </c:pt>
                  <c:pt idx="1">
                    <c:v>Ibadan</c:v>
                  </c:pt>
                  <c:pt idx="2">
                    <c:v>Kano</c:v>
                  </c:pt>
                  <c:pt idx="3">
                    <c:v>Lagos</c:v>
                  </c:pt>
                  <c:pt idx="4">
                    <c:v>Abuja</c:v>
                  </c:pt>
                  <c:pt idx="5">
                    <c:v>Ibadan</c:v>
                  </c:pt>
                  <c:pt idx="6">
                    <c:v>Kano</c:v>
                  </c:pt>
                  <c:pt idx="7">
                    <c:v>Lagos</c:v>
                  </c:pt>
                  <c:pt idx="8">
                    <c:v>Abuja</c:v>
                  </c:pt>
                  <c:pt idx="9">
                    <c:v>Ibadan</c:v>
                  </c:pt>
                  <c:pt idx="10">
                    <c:v>Kano</c:v>
                  </c:pt>
                  <c:pt idx="11">
                    <c:v>Lagos</c:v>
                  </c:pt>
                </c:lvl>
                <c:lvl>
                  <c:pt idx="0">
                    <c:v>Deposit</c:v>
                  </c:pt>
                  <c:pt idx="4">
                    <c:v>Transfer</c:v>
                  </c:pt>
                  <c:pt idx="8">
                    <c:v>Withdrawal</c:v>
                  </c:pt>
                </c:lvl>
              </c:multiLvlStrCache>
            </c:multiLvlStrRef>
          </c:cat>
          <c:val>
            <c:numRef>
              <c:f>pivot!$K$4:$K$19</c:f>
              <c:numCache>
                <c:formatCode>_(* #,##0_);_(* \(#,##0\);_(* "-"??_);_(@_)</c:formatCode>
                <c:ptCount val="12"/>
                <c:pt idx="0">
                  <c:v>13</c:v>
                </c:pt>
                <c:pt idx="1">
                  <c:v>13</c:v>
                </c:pt>
                <c:pt idx="2">
                  <c:v>16</c:v>
                </c:pt>
                <c:pt idx="3">
                  <c:v>11</c:v>
                </c:pt>
                <c:pt idx="4">
                  <c:v>14</c:v>
                </c:pt>
                <c:pt idx="5">
                  <c:v>17</c:v>
                </c:pt>
                <c:pt idx="6">
                  <c:v>10</c:v>
                </c:pt>
                <c:pt idx="7">
                  <c:v>9</c:v>
                </c:pt>
                <c:pt idx="8">
                  <c:v>14</c:v>
                </c:pt>
                <c:pt idx="9">
                  <c:v>13</c:v>
                </c:pt>
                <c:pt idx="10">
                  <c:v>10</c:v>
                </c:pt>
                <c:pt idx="11">
                  <c:v>10</c:v>
                </c:pt>
              </c:numCache>
            </c:numRef>
          </c:val>
          <c:extLst>
            <c:ext xmlns:c16="http://schemas.microsoft.com/office/drawing/2014/chart" uri="{C3380CC4-5D6E-409C-BE32-E72D297353CC}">
              <c16:uniqueId val="{00000001-36D3-42F9-B5D8-5D8B60629A1A}"/>
            </c:ext>
          </c:extLst>
        </c:ser>
        <c:dLbls>
          <c:showLegendKey val="0"/>
          <c:showVal val="0"/>
          <c:showCatName val="0"/>
          <c:showSerName val="0"/>
          <c:showPercent val="0"/>
          <c:showBubbleSize val="0"/>
        </c:dLbls>
        <c:gapWidth val="219"/>
        <c:overlap val="-27"/>
        <c:axId val="820923199"/>
        <c:axId val="535047151"/>
      </c:barChart>
      <c:catAx>
        <c:axId val="82092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47151"/>
        <c:crosses val="autoZero"/>
        <c:auto val="1"/>
        <c:lblAlgn val="ctr"/>
        <c:lblOffset val="100"/>
        <c:noMultiLvlLbl val="0"/>
      </c:catAx>
      <c:valAx>
        <c:axId val="53504715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2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4883556543697"/>
          <c:y val="0.12199403041380165"/>
          <c:w val="0.70087384892540294"/>
          <c:h val="0.62072868073542231"/>
        </c:manualLayout>
      </c:layout>
      <c:barChart>
        <c:barDir val="col"/>
        <c:grouping val="clustered"/>
        <c:varyColors val="0"/>
        <c:ser>
          <c:idx val="0"/>
          <c:order val="0"/>
          <c:tx>
            <c:strRef>
              <c:f>pivot!$J$33:$J$34</c:f>
              <c:strCache>
                <c:ptCount val="1"/>
                <c:pt idx="0">
                  <c:v>Yes</c:v>
                </c:pt>
              </c:strCache>
            </c:strRef>
          </c:tx>
          <c:spPr>
            <a:solidFill>
              <a:srgbClr val="1DCF9F"/>
            </a:solidFill>
            <a:ln>
              <a:noFill/>
            </a:ln>
            <a:effectLst/>
          </c:spPr>
          <c:invertIfNegative val="0"/>
          <c:cat>
            <c:strRef>
              <c:f>pivot!$I$35:$I$39</c:f>
              <c:strCache>
                <c:ptCount val="4"/>
                <c:pt idx="0">
                  <c:v>Abuja</c:v>
                </c:pt>
                <c:pt idx="1">
                  <c:v>Ibadan</c:v>
                </c:pt>
                <c:pt idx="2">
                  <c:v>Kano</c:v>
                </c:pt>
                <c:pt idx="3">
                  <c:v>Lagos</c:v>
                </c:pt>
              </c:strCache>
            </c:strRef>
          </c:cat>
          <c:val>
            <c:numRef>
              <c:f>pivot!$J$35:$J$39</c:f>
              <c:numCache>
                <c:formatCode>General</c:formatCode>
                <c:ptCount val="4"/>
                <c:pt idx="0">
                  <c:v>18</c:v>
                </c:pt>
                <c:pt idx="1">
                  <c:v>23</c:v>
                </c:pt>
                <c:pt idx="2">
                  <c:v>17</c:v>
                </c:pt>
                <c:pt idx="3">
                  <c:v>17</c:v>
                </c:pt>
              </c:numCache>
            </c:numRef>
          </c:val>
          <c:extLst>
            <c:ext xmlns:c16="http://schemas.microsoft.com/office/drawing/2014/chart" uri="{C3380CC4-5D6E-409C-BE32-E72D297353CC}">
              <c16:uniqueId val="{00000000-5062-4E75-BC75-EB7D1E3D357B}"/>
            </c:ext>
          </c:extLst>
        </c:ser>
        <c:dLbls>
          <c:showLegendKey val="0"/>
          <c:showVal val="0"/>
          <c:showCatName val="0"/>
          <c:showSerName val="0"/>
          <c:showPercent val="0"/>
          <c:showBubbleSize val="0"/>
        </c:dLbls>
        <c:gapWidth val="219"/>
        <c:overlap val="-27"/>
        <c:axId val="817664127"/>
        <c:axId val="535040911"/>
      </c:barChart>
      <c:catAx>
        <c:axId val="8176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40911"/>
        <c:crosses val="autoZero"/>
        <c:auto val="1"/>
        <c:lblAlgn val="ctr"/>
        <c:lblOffset val="100"/>
        <c:noMultiLvlLbl val="0"/>
      </c:catAx>
      <c:valAx>
        <c:axId val="53504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66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pivot!$B$58:$B$59</c:f>
              <c:strCache>
                <c:ptCount val="1"/>
                <c:pt idx="0">
                  <c:v>No</c:v>
                </c:pt>
              </c:strCache>
            </c:strRef>
          </c:tx>
          <c:spPr>
            <a:solidFill>
              <a:schemeClr val="accent1"/>
            </a:solidFill>
            <a:ln>
              <a:noFill/>
            </a:ln>
            <a:effectLst/>
          </c:spPr>
          <c:invertIfNegative val="0"/>
          <c:cat>
            <c:strRef>
              <c:f>pivot!$A$60:$A$70</c:f>
              <c:strCache>
                <c:ptCount val="10"/>
                <c:pt idx="0">
                  <c:v>Daniel Anderson</c:v>
                </c:pt>
                <c:pt idx="1">
                  <c:v>David Brown</c:v>
                </c:pt>
                <c:pt idx="2">
                  <c:v>Emily Taylor</c:v>
                </c:pt>
                <c:pt idx="3">
                  <c:v>James Jackson</c:v>
                </c:pt>
                <c:pt idx="4">
                  <c:v>John Smith</c:v>
                </c:pt>
                <c:pt idx="5">
                  <c:v>Mary Johnson</c:v>
                </c:pt>
                <c:pt idx="6">
                  <c:v>Michael Wilson</c:v>
                </c:pt>
                <c:pt idx="7">
                  <c:v>Olivia Thomas</c:v>
                </c:pt>
                <c:pt idx="8">
                  <c:v>Sarah Davis</c:v>
                </c:pt>
                <c:pt idx="9">
                  <c:v>Sophia White</c:v>
                </c:pt>
              </c:strCache>
            </c:strRef>
          </c:cat>
          <c:val>
            <c:numRef>
              <c:f>pivot!$B$60:$B$70</c:f>
              <c:numCache>
                <c:formatCode>_(* #,##0_);_(* \(#,##0\);_(* "-"??_);_(@_)</c:formatCode>
                <c:ptCount val="10"/>
                <c:pt idx="0">
                  <c:v>53097</c:v>
                </c:pt>
                <c:pt idx="1">
                  <c:v>139800</c:v>
                </c:pt>
                <c:pt idx="2">
                  <c:v>139750</c:v>
                </c:pt>
                <c:pt idx="3">
                  <c:v>93703</c:v>
                </c:pt>
                <c:pt idx="4">
                  <c:v>131850</c:v>
                </c:pt>
                <c:pt idx="5">
                  <c:v>151543</c:v>
                </c:pt>
                <c:pt idx="6">
                  <c:v>64351</c:v>
                </c:pt>
                <c:pt idx="7">
                  <c:v>128729</c:v>
                </c:pt>
                <c:pt idx="8">
                  <c:v>64890</c:v>
                </c:pt>
                <c:pt idx="9">
                  <c:v>43724</c:v>
                </c:pt>
              </c:numCache>
            </c:numRef>
          </c:val>
          <c:extLst>
            <c:ext xmlns:c16="http://schemas.microsoft.com/office/drawing/2014/chart" uri="{C3380CC4-5D6E-409C-BE32-E72D297353CC}">
              <c16:uniqueId val="{00000000-4BF6-4DC9-8AC0-EE1D75CEAAA6}"/>
            </c:ext>
          </c:extLst>
        </c:ser>
        <c:ser>
          <c:idx val="1"/>
          <c:order val="1"/>
          <c:tx>
            <c:strRef>
              <c:f>pivot!$C$58:$C$59</c:f>
              <c:strCache>
                <c:ptCount val="1"/>
                <c:pt idx="0">
                  <c:v>Yes</c:v>
                </c:pt>
              </c:strCache>
            </c:strRef>
          </c:tx>
          <c:spPr>
            <a:solidFill>
              <a:schemeClr val="accent2"/>
            </a:solidFill>
            <a:ln>
              <a:noFill/>
            </a:ln>
            <a:effectLst/>
          </c:spPr>
          <c:invertIfNegative val="0"/>
          <c:cat>
            <c:strRef>
              <c:f>pivot!$A$60:$A$70</c:f>
              <c:strCache>
                <c:ptCount val="10"/>
                <c:pt idx="0">
                  <c:v>Daniel Anderson</c:v>
                </c:pt>
                <c:pt idx="1">
                  <c:v>David Brown</c:v>
                </c:pt>
                <c:pt idx="2">
                  <c:v>Emily Taylor</c:v>
                </c:pt>
                <c:pt idx="3">
                  <c:v>James Jackson</c:v>
                </c:pt>
                <c:pt idx="4">
                  <c:v>John Smith</c:v>
                </c:pt>
                <c:pt idx="5">
                  <c:v>Mary Johnson</c:v>
                </c:pt>
                <c:pt idx="6">
                  <c:v>Michael Wilson</c:v>
                </c:pt>
                <c:pt idx="7">
                  <c:v>Olivia Thomas</c:v>
                </c:pt>
                <c:pt idx="8">
                  <c:v>Sarah Davis</c:v>
                </c:pt>
                <c:pt idx="9">
                  <c:v>Sophia White</c:v>
                </c:pt>
              </c:strCache>
            </c:strRef>
          </c:cat>
          <c:val>
            <c:numRef>
              <c:f>pivot!$C$60:$C$70</c:f>
              <c:numCache>
                <c:formatCode>_(* #,##0_);_(* \(#,##0\);_(* "-"??_);_(@_)</c:formatCode>
                <c:ptCount val="10"/>
                <c:pt idx="0">
                  <c:v>125936</c:v>
                </c:pt>
                <c:pt idx="1">
                  <c:v>74818</c:v>
                </c:pt>
                <c:pt idx="2">
                  <c:v>110255</c:v>
                </c:pt>
                <c:pt idx="3">
                  <c:v>116684</c:v>
                </c:pt>
                <c:pt idx="4">
                  <c:v>145011</c:v>
                </c:pt>
                <c:pt idx="5">
                  <c:v>78718</c:v>
                </c:pt>
                <c:pt idx="6">
                  <c:v>135691</c:v>
                </c:pt>
                <c:pt idx="7">
                  <c:v>113987</c:v>
                </c:pt>
                <c:pt idx="8">
                  <c:v>127947</c:v>
                </c:pt>
                <c:pt idx="9">
                  <c:v>39917</c:v>
                </c:pt>
              </c:numCache>
            </c:numRef>
          </c:val>
          <c:extLst>
            <c:ext xmlns:c16="http://schemas.microsoft.com/office/drawing/2014/chart" uri="{C3380CC4-5D6E-409C-BE32-E72D297353CC}">
              <c16:uniqueId val="{00000001-4BF6-4DC9-8AC0-EE1D75CEAAA6}"/>
            </c:ext>
          </c:extLst>
        </c:ser>
        <c:dLbls>
          <c:showLegendKey val="0"/>
          <c:showVal val="0"/>
          <c:showCatName val="0"/>
          <c:showSerName val="0"/>
          <c:showPercent val="0"/>
          <c:showBubbleSize val="0"/>
        </c:dLbls>
        <c:gapWidth val="219"/>
        <c:overlap val="-27"/>
        <c:axId val="815502575"/>
        <c:axId val="534930031"/>
      </c:barChart>
      <c:catAx>
        <c:axId val="81550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30031"/>
        <c:crosses val="autoZero"/>
        <c:auto val="1"/>
        <c:lblAlgn val="ctr"/>
        <c:lblOffset val="100"/>
        <c:noMultiLvlLbl val="0"/>
      </c:catAx>
      <c:valAx>
        <c:axId val="5349300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50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[bankingd Dataset by me.xlsx]pivot!PivotTable8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c:f>
              <c:strCache>
                <c:ptCount val="1"/>
                <c:pt idx="0">
                  <c:v>Sum of transation-amount</c:v>
                </c:pt>
              </c:strCache>
            </c:strRef>
          </c:tx>
          <c:spPr>
            <a:solidFill>
              <a:schemeClr val="accent1"/>
            </a:solidFill>
            <a:ln>
              <a:noFill/>
            </a:ln>
            <a:effectLst/>
          </c:spPr>
          <c:invertIfNegative val="0"/>
          <c:cat>
            <c:multiLvlStrRef>
              <c:f>pivot!$I$4:$I$19</c:f>
              <c:multiLvlStrCache>
                <c:ptCount val="12"/>
                <c:lvl>
                  <c:pt idx="0">
                    <c:v>Abuja</c:v>
                  </c:pt>
                  <c:pt idx="1">
                    <c:v>Ibadan</c:v>
                  </c:pt>
                  <c:pt idx="2">
                    <c:v>Kano</c:v>
                  </c:pt>
                  <c:pt idx="3">
                    <c:v>Lagos</c:v>
                  </c:pt>
                  <c:pt idx="4">
                    <c:v>Abuja</c:v>
                  </c:pt>
                  <c:pt idx="5">
                    <c:v>Ibadan</c:v>
                  </c:pt>
                  <c:pt idx="6">
                    <c:v>Kano</c:v>
                  </c:pt>
                  <c:pt idx="7">
                    <c:v>Lagos</c:v>
                  </c:pt>
                  <c:pt idx="8">
                    <c:v>Abuja</c:v>
                  </c:pt>
                  <c:pt idx="9">
                    <c:v>Ibadan</c:v>
                  </c:pt>
                  <c:pt idx="10">
                    <c:v>Kano</c:v>
                  </c:pt>
                  <c:pt idx="11">
                    <c:v>Lagos</c:v>
                  </c:pt>
                </c:lvl>
                <c:lvl>
                  <c:pt idx="0">
                    <c:v>Deposit</c:v>
                  </c:pt>
                  <c:pt idx="4">
                    <c:v>Transfer</c:v>
                  </c:pt>
                  <c:pt idx="8">
                    <c:v>Withdrawal</c:v>
                  </c:pt>
                </c:lvl>
              </c:multiLvlStrCache>
            </c:multiLvlStrRef>
          </c:cat>
          <c:val>
            <c:numRef>
              <c:f>pivot!$J$4:$J$19</c:f>
              <c:numCache>
                <c:formatCode>_(* #,##0_);_(* \(#,##0\);_(* "-"??_);_(@_)</c:formatCode>
                <c:ptCount val="12"/>
                <c:pt idx="0">
                  <c:v>33459</c:v>
                </c:pt>
                <c:pt idx="1">
                  <c:v>45134</c:v>
                </c:pt>
                <c:pt idx="2">
                  <c:v>46427</c:v>
                </c:pt>
                <c:pt idx="3">
                  <c:v>28040</c:v>
                </c:pt>
                <c:pt idx="4">
                  <c:v>40828</c:v>
                </c:pt>
                <c:pt idx="5">
                  <c:v>42236</c:v>
                </c:pt>
                <c:pt idx="6">
                  <c:v>27154</c:v>
                </c:pt>
                <c:pt idx="7">
                  <c:v>24601</c:v>
                </c:pt>
                <c:pt idx="8">
                  <c:v>39330</c:v>
                </c:pt>
                <c:pt idx="9">
                  <c:v>33524</c:v>
                </c:pt>
                <c:pt idx="10">
                  <c:v>26642</c:v>
                </c:pt>
                <c:pt idx="11">
                  <c:v>26309</c:v>
                </c:pt>
              </c:numCache>
            </c:numRef>
          </c:val>
          <c:extLst>
            <c:ext xmlns:c16="http://schemas.microsoft.com/office/drawing/2014/chart" uri="{C3380CC4-5D6E-409C-BE32-E72D297353CC}">
              <c16:uniqueId val="{00000000-5AB3-49E3-B148-1690D67A0F36}"/>
            </c:ext>
          </c:extLst>
        </c:ser>
        <c:ser>
          <c:idx val="1"/>
          <c:order val="1"/>
          <c:tx>
            <c:strRef>
              <c:f>pivot!$K$3</c:f>
              <c:strCache>
                <c:ptCount val="1"/>
                <c:pt idx="0">
                  <c:v>Count of State</c:v>
                </c:pt>
              </c:strCache>
            </c:strRef>
          </c:tx>
          <c:spPr>
            <a:solidFill>
              <a:schemeClr val="accent2"/>
            </a:solidFill>
            <a:ln>
              <a:noFill/>
            </a:ln>
            <a:effectLst/>
          </c:spPr>
          <c:invertIfNegative val="0"/>
          <c:cat>
            <c:multiLvlStrRef>
              <c:f>pivot!$I$4:$I$19</c:f>
              <c:multiLvlStrCache>
                <c:ptCount val="12"/>
                <c:lvl>
                  <c:pt idx="0">
                    <c:v>Abuja</c:v>
                  </c:pt>
                  <c:pt idx="1">
                    <c:v>Ibadan</c:v>
                  </c:pt>
                  <c:pt idx="2">
                    <c:v>Kano</c:v>
                  </c:pt>
                  <c:pt idx="3">
                    <c:v>Lagos</c:v>
                  </c:pt>
                  <c:pt idx="4">
                    <c:v>Abuja</c:v>
                  </c:pt>
                  <c:pt idx="5">
                    <c:v>Ibadan</c:v>
                  </c:pt>
                  <c:pt idx="6">
                    <c:v>Kano</c:v>
                  </c:pt>
                  <c:pt idx="7">
                    <c:v>Lagos</c:v>
                  </c:pt>
                  <c:pt idx="8">
                    <c:v>Abuja</c:v>
                  </c:pt>
                  <c:pt idx="9">
                    <c:v>Ibadan</c:v>
                  </c:pt>
                  <c:pt idx="10">
                    <c:v>Kano</c:v>
                  </c:pt>
                  <c:pt idx="11">
                    <c:v>Lagos</c:v>
                  </c:pt>
                </c:lvl>
                <c:lvl>
                  <c:pt idx="0">
                    <c:v>Deposit</c:v>
                  </c:pt>
                  <c:pt idx="4">
                    <c:v>Transfer</c:v>
                  </c:pt>
                  <c:pt idx="8">
                    <c:v>Withdrawal</c:v>
                  </c:pt>
                </c:lvl>
              </c:multiLvlStrCache>
            </c:multiLvlStrRef>
          </c:cat>
          <c:val>
            <c:numRef>
              <c:f>pivot!$K$4:$K$19</c:f>
              <c:numCache>
                <c:formatCode>_(* #,##0_);_(* \(#,##0\);_(* "-"??_);_(@_)</c:formatCode>
                <c:ptCount val="12"/>
                <c:pt idx="0">
                  <c:v>13</c:v>
                </c:pt>
                <c:pt idx="1">
                  <c:v>13</c:v>
                </c:pt>
                <c:pt idx="2">
                  <c:v>16</c:v>
                </c:pt>
                <c:pt idx="3">
                  <c:v>11</c:v>
                </c:pt>
                <c:pt idx="4">
                  <c:v>14</c:v>
                </c:pt>
                <c:pt idx="5">
                  <c:v>17</c:v>
                </c:pt>
                <c:pt idx="6">
                  <c:v>10</c:v>
                </c:pt>
                <c:pt idx="7">
                  <c:v>9</c:v>
                </c:pt>
                <c:pt idx="8">
                  <c:v>14</c:v>
                </c:pt>
                <c:pt idx="9">
                  <c:v>13</c:v>
                </c:pt>
                <c:pt idx="10">
                  <c:v>10</c:v>
                </c:pt>
                <c:pt idx="11">
                  <c:v>10</c:v>
                </c:pt>
              </c:numCache>
            </c:numRef>
          </c:val>
          <c:extLst>
            <c:ext xmlns:c16="http://schemas.microsoft.com/office/drawing/2014/chart" uri="{C3380CC4-5D6E-409C-BE32-E72D297353CC}">
              <c16:uniqueId val="{00000001-5AB3-49E3-B148-1690D67A0F36}"/>
            </c:ext>
          </c:extLst>
        </c:ser>
        <c:dLbls>
          <c:showLegendKey val="0"/>
          <c:showVal val="0"/>
          <c:showCatName val="0"/>
          <c:showSerName val="0"/>
          <c:showPercent val="0"/>
          <c:showBubbleSize val="0"/>
        </c:dLbls>
        <c:gapWidth val="219"/>
        <c:overlap val="-27"/>
        <c:axId val="815498863"/>
        <c:axId val="534931471"/>
      </c:barChart>
      <c:catAx>
        <c:axId val="81549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31471"/>
        <c:crosses val="autoZero"/>
        <c:auto val="1"/>
        <c:lblAlgn val="ctr"/>
        <c:lblOffset val="100"/>
        <c:noMultiLvlLbl val="0"/>
      </c:catAx>
      <c:valAx>
        <c:axId val="5349314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49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6408</xdr:colOff>
      <xdr:row>0</xdr:row>
      <xdr:rowOff>6410</xdr:rowOff>
    </xdr:from>
    <xdr:to>
      <xdr:col>28</xdr:col>
      <xdr:colOff>585996</xdr:colOff>
      <xdr:row>3</xdr:row>
      <xdr:rowOff>91868</xdr:rowOff>
    </xdr:to>
    <xdr:sp macro="" textlink="">
      <xdr:nvSpPr>
        <xdr:cNvPr id="10" name="Rectangle 9">
          <a:extLst>
            <a:ext uri="{FF2B5EF4-FFF2-40B4-BE49-F238E27FC236}">
              <a16:creationId xmlns:a16="http://schemas.microsoft.com/office/drawing/2014/main" id="{6D9F6BBA-1356-95A9-64E8-37317DC12881}"/>
            </a:ext>
          </a:extLst>
        </xdr:cNvPr>
        <xdr:cNvSpPr/>
      </xdr:nvSpPr>
      <xdr:spPr>
        <a:xfrm>
          <a:off x="2448064" y="6410"/>
          <a:ext cx="15229521" cy="634831"/>
        </a:xfrm>
        <a:prstGeom prst="rect">
          <a:avLst/>
        </a:prstGeom>
        <a:solidFill>
          <a:srgbClr val="1DCF9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1" i="1">
              <a:solidFill>
                <a:schemeClr val="lt1"/>
              </a:solidFill>
              <a:effectLst/>
              <a:latin typeface="+mn-lt"/>
              <a:ea typeface="+mn-ea"/>
              <a:cs typeface="+mn-cs"/>
            </a:rPr>
            <a:t>2026</a:t>
          </a:r>
          <a:r>
            <a:rPr lang="en-US" sz="2400" b="1" i="1" baseline="0">
              <a:solidFill>
                <a:schemeClr val="lt1"/>
              </a:solidFill>
              <a:effectLst/>
              <a:latin typeface="+mn-lt"/>
              <a:ea typeface="+mn-ea"/>
              <a:cs typeface="+mn-cs"/>
            </a:rPr>
            <a:t> Branch Transaction &amp; Customer Balance Analysis</a:t>
          </a:r>
          <a:endParaRPr lang="en-US" sz="2400">
            <a:effectLst/>
          </a:endParaRPr>
        </a:p>
        <a:p>
          <a:pPr algn="l"/>
          <a:endParaRPr lang="en-US" sz="1100"/>
        </a:p>
      </xdr:txBody>
    </xdr:sp>
    <xdr:clientData/>
  </xdr:twoCellAnchor>
  <xdr:twoCellAnchor>
    <xdr:from>
      <xdr:col>0</xdr:col>
      <xdr:colOff>68366</xdr:colOff>
      <xdr:row>0</xdr:row>
      <xdr:rowOff>25638</xdr:rowOff>
    </xdr:from>
    <xdr:to>
      <xdr:col>3</xdr:col>
      <xdr:colOff>598206</xdr:colOff>
      <xdr:row>36</xdr:row>
      <xdr:rowOff>149551</xdr:rowOff>
    </xdr:to>
    <xdr:sp macro="" textlink="">
      <xdr:nvSpPr>
        <xdr:cNvPr id="11" name="Rectangle 10">
          <a:extLst>
            <a:ext uri="{FF2B5EF4-FFF2-40B4-BE49-F238E27FC236}">
              <a16:creationId xmlns:a16="http://schemas.microsoft.com/office/drawing/2014/main" id="{742DE327-95DB-97C5-26F9-921870FFF498}"/>
            </a:ext>
          </a:extLst>
        </xdr:cNvPr>
        <xdr:cNvSpPr/>
      </xdr:nvSpPr>
      <xdr:spPr>
        <a:xfrm>
          <a:off x="68366" y="25638"/>
          <a:ext cx="2388550" cy="6661446"/>
        </a:xfrm>
        <a:prstGeom prst="rect">
          <a:avLst/>
        </a:prstGeom>
        <a:solidFill>
          <a:srgbClr val="1D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40594</xdr:colOff>
      <xdr:row>0</xdr:row>
      <xdr:rowOff>34183</xdr:rowOff>
    </xdr:from>
    <xdr:to>
      <xdr:col>2</xdr:col>
      <xdr:colOff>331151</xdr:colOff>
      <xdr:row>5</xdr:row>
      <xdr:rowOff>25638</xdr:rowOff>
    </xdr:to>
    <xdr:sp macro="" textlink="">
      <xdr:nvSpPr>
        <xdr:cNvPr id="12" name="TextBox 11">
          <a:extLst>
            <a:ext uri="{FF2B5EF4-FFF2-40B4-BE49-F238E27FC236}">
              <a16:creationId xmlns:a16="http://schemas.microsoft.com/office/drawing/2014/main" id="{0AACC71C-D8AC-D2DF-3646-89D7F7D1394A}"/>
            </a:ext>
          </a:extLst>
        </xdr:cNvPr>
        <xdr:cNvSpPr txBox="1"/>
      </xdr:nvSpPr>
      <xdr:spPr>
        <a:xfrm>
          <a:off x="660164" y="34183"/>
          <a:ext cx="910127" cy="899446"/>
        </a:xfrm>
        <a:prstGeom prst="rect">
          <a:avLst/>
        </a:prstGeom>
        <a:solidFill>
          <a:srgbClr val="1DCF9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chemeClr val="bg1"/>
            </a:solidFill>
          </a:endParaRPr>
        </a:p>
      </xdr:txBody>
    </xdr:sp>
    <xdr:clientData/>
  </xdr:twoCellAnchor>
  <xdr:twoCellAnchor>
    <xdr:from>
      <xdr:col>12</xdr:col>
      <xdr:colOff>302155</xdr:colOff>
      <xdr:row>3</xdr:row>
      <xdr:rowOff>157181</xdr:rowOff>
    </xdr:from>
    <xdr:to>
      <xdr:col>15</xdr:col>
      <xdr:colOff>590573</xdr:colOff>
      <xdr:row>9</xdr:row>
      <xdr:rowOff>146499</xdr:rowOff>
    </xdr:to>
    <xdr:sp macro="" textlink="pivot!O17">
      <xdr:nvSpPr>
        <xdr:cNvPr id="2" name="Rectangle 1">
          <a:extLst>
            <a:ext uri="{FF2B5EF4-FFF2-40B4-BE49-F238E27FC236}">
              <a16:creationId xmlns:a16="http://schemas.microsoft.com/office/drawing/2014/main" id="{3F93D69C-FB7A-B886-CA6E-033BB8C534D9}"/>
            </a:ext>
          </a:extLst>
        </xdr:cNvPr>
        <xdr:cNvSpPr/>
      </xdr:nvSpPr>
      <xdr:spPr>
        <a:xfrm>
          <a:off x="7627122" y="706554"/>
          <a:ext cx="2119660" cy="108806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11171C91-637E-47DD-844E-77CB8BA29997}" type="TxLink">
            <a:rPr lang="en-US" sz="2400" b="1" i="0" u="none" strike="noStrike">
              <a:solidFill>
                <a:srgbClr val="1DCF9F"/>
              </a:solidFill>
              <a:latin typeface="Calibri"/>
              <a:cs typeface="Calibri"/>
            </a:rPr>
            <a:pPr algn="ctr"/>
            <a:t> 150 </a:t>
          </a:fld>
          <a:endParaRPr lang="en-US" sz="2400" b="1">
            <a:solidFill>
              <a:srgbClr val="1DCF9F"/>
            </a:solidFill>
          </a:endParaRPr>
        </a:p>
      </xdr:txBody>
    </xdr:sp>
    <xdr:clientData/>
  </xdr:twoCellAnchor>
  <xdr:twoCellAnchor>
    <xdr:from>
      <xdr:col>16</xdr:col>
      <xdr:colOff>480496</xdr:colOff>
      <xdr:row>3</xdr:row>
      <xdr:rowOff>160030</xdr:rowOff>
    </xdr:from>
    <xdr:to>
      <xdr:col>20</xdr:col>
      <xdr:colOff>158504</xdr:colOff>
      <xdr:row>9</xdr:row>
      <xdr:rowOff>149348</xdr:rowOff>
    </xdr:to>
    <xdr:sp macro="" textlink="pivot!O21">
      <xdr:nvSpPr>
        <xdr:cNvPr id="3" name="Rectangle 2">
          <a:extLst>
            <a:ext uri="{FF2B5EF4-FFF2-40B4-BE49-F238E27FC236}">
              <a16:creationId xmlns:a16="http://schemas.microsoft.com/office/drawing/2014/main" id="{A7DD6D4B-04D9-4C85-A86C-5B6F77A51204}"/>
            </a:ext>
          </a:extLst>
        </xdr:cNvPr>
        <xdr:cNvSpPr/>
      </xdr:nvSpPr>
      <xdr:spPr>
        <a:xfrm>
          <a:off x="10247119" y="709403"/>
          <a:ext cx="2119662" cy="108806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7492E3C-F225-49FE-B979-354DC36F12CF}" type="TxLink">
            <a:rPr lang="en-US" sz="2400" b="1" i="0" u="none" strike="noStrike">
              <a:solidFill>
                <a:srgbClr val="1DCF9F"/>
              </a:solidFill>
              <a:latin typeface="Calibri"/>
              <a:cs typeface="Calibri"/>
            </a:rPr>
            <a:pPr algn="ctr"/>
            <a:t> 413,684 </a:t>
          </a:fld>
          <a:endParaRPr lang="en-US" sz="2400" b="1">
            <a:solidFill>
              <a:srgbClr val="1DCF9F"/>
            </a:solidFill>
          </a:endParaRPr>
        </a:p>
      </xdr:txBody>
    </xdr:sp>
    <xdr:clientData/>
  </xdr:twoCellAnchor>
  <xdr:twoCellAnchor>
    <xdr:from>
      <xdr:col>20</xdr:col>
      <xdr:colOff>587119</xdr:colOff>
      <xdr:row>3</xdr:row>
      <xdr:rowOff>164405</xdr:rowOff>
    </xdr:from>
    <xdr:to>
      <xdr:col>24</xdr:col>
      <xdr:colOff>265125</xdr:colOff>
      <xdr:row>9</xdr:row>
      <xdr:rowOff>153722</xdr:rowOff>
    </xdr:to>
    <xdr:sp macro="" textlink="pivot!O43">
      <xdr:nvSpPr>
        <xdr:cNvPr id="4" name="Rectangle 3">
          <a:extLst>
            <a:ext uri="{FF2B5EF4-FFF2-40B4-BE49-F238E27FC236}">
              <a16:creationId xmlns:a16="http://schemas.microsoft.com/office/drawing/2014/main" id="{49881DFC-0AB8-4459-83CC-3FDA006EC081}"/>
            </a:ext>
          </a:extLst>
        </xdr:cNvPr>
        <xdr:cNvSpPr/>
      </xdr:nvSpPr>
      <xdr:spPr>
        <a:xfrm>
          <a:off x="12795396" y="713778"/>
          <a:ext cx="2119662" cy="108806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65BE0DDD-05EB-46AC-88E8-F3A22BEF6020}" type="TxLink">
            <a:rPr lang="en-US" sz="2400" b="1" i="0" u="none" strike="noStrike">
              <a:solidFill>
                <a:srgbClr val="1DCF9F"/>
              </a:solidFill>
              <a:latin typeface="Calibri"/>
              <a:cs typeface="Calibri"/>
            </a:rPr>
            <a:pPr algn="ctr"/>
            <a:t>Ibadan</a:t>
          </a:fld>
          <a:endParaRPr lang="en-US" sz="2400" b="1">
            <a:solidFill>
              <a:srgbClr val="1DCF9F"/>
            </a:solidFill>
          </a:endParaRPr>
        </a:p>
      </xdr:txBody>
    </xdr:sp>
    <xdr:clientData/>
  </xdr:twoCellAnchor>
  <xdr:twoCellAnchor>
    <xdr:from>
      <xdr:col>25</xdr:col>
      <xdr:colOff>57382</xdr:colOff>
      <xdr:row>3</xdr:row>
      <xdr:rowOff>179462</xdr:rowOff>
    </xdr:from>
    <xdr:to>
      <xdr:col>28</xdr:col>
      <xdr:colOff>336645</xdr:colOff>
      <xdr:row>9</xdr:row>
      <xdr:rowOff>168779</xdr:rowOff>
    </xdr:to>
    <xdr:sp macro="" textlink="pivot!B54">
      <xdr:nvSpPr>
        <xdr:cNvPr id="6" name="Rectangle 5">
          <a:extLst>
            <a:ext uri="{FF2B5EF4-FFF2-40B4-BE49-F238E27FC236}">
              <a16:creationId xmlns:a16="http://schemas.microsoft.com/office/drawing/2014/main" id="{87C96A97-4095-40D3-AA02-963B2BA239F5}"/>
            </a:ext>
          </a:extLst>
        </xdr:cNvPr>
        <xdr:cNvSpPr/>
      </xdr:nvSpPr>
      <xdr:spPr>
        <a:xfrm>
          <a:off x="15317729" y="728835"/>
          <a:ext cx="2110505" cy="108806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1D0D0149-799F-425E-A699-AEE8A7B4584A}" type="TxLink">
            <a:rPr lang="en-US" sz="2400" b="1" i="0" u="none" strike="noStrike">
              <a:solidFill>
                <a:srgbClr val="1DCF9F"/>
              </a:solidFill>
              <a:latin typeface="Calibri"/>
              <a:cs typeface="Calibri"/>
            </a:rPr>
            <a:pPr algn="ctr"/>
            <a:t> 2,080,401 </a:t>
          </a:fld>
          <a:endParaRPr lang="en-US" sz="2400" b="1">
            <a:solidFill>
              <a:srgbClr val="1DCF9F"/>
            </a:solidFill>
          </a:endParaRPr>
        </a:p>
      </xdr:txBody>
    </xdr:sp>
    <xdr:clientData/>
  </xdr:twoCellAnchor>
  <xdr:twoCellAnchor>
    <xdr:from>
      <xdr:col>12</xdr:col>
      <xdr:colOff>413557</xdr:colOff>
      <xdr:row>3</xdr:row>
      <xdr:rowOff>175495</xdr:rowOff>
    </xdr:from>
    <xdr:to>
      <xdr:col>15</xdr:col>
      <xdr:colOff>541742</xdr:colOff>
      <xdr:row>6</xdr:row>
      <xdr:rowOff>24418</xdr:rowOff>
    </xdr:to>
    <xdr:sp macro="" textlink="">
      <xdr:nvSpPr>
        <xdr:cNvPr id="7" name="TextBox 6">
          <a:extLst>
            <a:ext uri="{FF2B5EF4-FFF2-40B4-BE49-F238E27FC236}">
              <a16:creationId xmlns:a16="http://schemas.microsoft.com/office/drawing/2014/main" id="{C3C387F3-047F-E775-CC6C-CD9C8C94C68E}"/>
            </a:ext>
          </a:extLst>
        </xdr:cNvPr>
        <xdr:cNvSpPr txBox="1"/>
      </xdr:nvSpPr>
      <xdr:spPr>
        <a:xfrm>
          <a:off x="7738524" y="724868"/>
          <a:ext cx="1959427" cy="398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a:t>
          </a:r>
          <a:r>
            <a:rPr lang="en-US" sz="1800" b="1" baseline="0"/>
            <a:t> Customers</a:t>
          </a:r>
          <a:endParaRPr lang="en-US" sz="1800" b="1"/>
        </a:p>
      </xdr:txBody>
    </xdr:sp>
    <xdr:clientData/>
  </xdr:twoCellAnchor>
  <xdr:twoCellAnchor>
    <xdr:from>
      <xdr:col>16</xdr:col>
      <xdr:colOff>499014</xdr:colOff>
      <xdr:row>4</xdr:row>
      <xdr:rowOff>24415</xdr:rowOff>
    </xdr:from>
    <xdr:to>
      <xdr:col>20</xdr:col>
      <xdr:colOff>155658</xdr:colOff>
      <xdr:row>5</xdr:row>
      <xdr:rowOff>154127</xdr:rowOff>
    </xdr:to>
    <xdr:sp macro="" textlink="">
      <xdr:nvSpPr>
        <xdr:cNvPr id="8" name="TextBox 7">
          <a:extLst>
            <a:ext uri="{FF2B5EF4-FFF2-40B4-BE49-F238E27FC236}">
              <a16:creationId xmlns:a16="http://schemas.microsoft.com/office/drawing/2014/main" id="{107BFAF6-C1D5-CBEB-0FD7-FB114D500FA0}"/>
            </a:ext>
          </a:extLst>
        </xdr:cNvPr>
        <xdr:cNvSpPr txBox="1"/>
      </xdr:nvSpPr>
      <xdr:spPr>
        <a:xfrm>
          <a:off x="10265637" y="756912"/>
          <a:ext cx="2098298" cy="3128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Transaction</a:t>
          </a:r>
          <a:r>
            <a:rPr lang="en-US" sz="1800" b="1" baseline="0"/>
            <a:t> Amount</a:t>
          </a:r>
          <a:endParaRPr lang="en-US" sz="1800" b="1"/>
        </a:p>
      </xdr:txBody>
    </xdr:sp>
    <xdr:clientData/>
  </xdr:twoCellAnchor>
  <xdr:twoCellAnchor>
    <xdr:from>
      <xdr:col>21</xdr:col>
      <xdr:colOff>4578</xdr:colOff>
      <xdr:row>3</xdr:row>
      <xdr:rowOff>177019</xdr:rowOff>
    </xdr:from>
    <xdr:to>
      <xdr:col>24</xdr:col>
      <xdr:colOff>239588</xdr:colOff>
      <xdr:row>6</xdr:row>
      <xdr:rowOff>15260</xdr:rowOff>
    </xdr:to>
    <xdr:sp macro="" textlink="">
      <xdr:nvSpPr>
        <xdr:cNvPr id="9" name="TextBox 8">
          <a:extLst>
            <a:ext uri="{FF2B5EF4-FFF2-40B4-BE49-F238E27FC236}">
              <a16:creationId xmlns:a16="http://schemas.microsoft.com/office/drawing/2014/main" id="{BDF59501-2C16-6DF1-F58D-83D4894118A8}"/>
            </a:ext>
          </a:extLst>
        </xdr:cNvPr>
        <xdr:cNvSpPr txBox="1"/>
      </xdr:nvSpPr>
      <xdr:spPr>
        <a:xfrm>
          <a:off x="12823269" y="726392"/>
          <a:ext cx="2066252" cy="3876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Most Active</a:t>
          </a:r>
          <a:r>
            <a:rPr lang="en-US" sz="1800" b="1" baseline="0"/>
            <a:t> Branch</a:t>
          </a:r>
          <a:endParaRPr lang="en-US" sz="1800" b="1"/>
        </a:p>
      </xdr:txBody>
    </xdr:sp>
    <xdr:clientData/>
  </xdr:twoCellAnchor>
  <xdr:twoCellAnchor editAs="oneCell">
    <xdr:from>
      <xdr:col>0</xdr:col>
      <xdr:colOff>85459</xdr:colOff>
      <xdr:row>0</xdr:row>
      <xdr:rowOff>21365</xdr:rowOff>
    </xdr:from>
    <xdr:to>
      <xdr:col>3</xdr:col>
      <xdr:colOff>512748</xdr:colOff>
      <xdr:row>9</xdr:row>
      <xdr:rowOff>64092</xdr:rowOff>
    </xdr:to>
    <xdr:pic>
      <xdr:nvPicPr>
        <xdr:cNvPr id="14" name="Picture 13">
          <a:extLst>
            <a:ext uri="{FF2B5EF4-FFF2-40B4-BE49-F238E27FC236}">
              <a16:creationId xmlns:a16="http://schemas.microsoft.com/office/drawing/2014/main" id="{C66B3221-0033-8134-45FF-83B68F53B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459" y="21365"/>
          <a:ext cx="2285999" cy="1677111"/>
        </a:xfrm>
        <a:prstGeom prst="rect">
          <a:avLst/>
        </a:prstGeom>
      </xdr:spPr>
    </xdr:pic>
    <xdr:clientData/>
  </xdr:twoCellAnchor>
  <xdr:twoCellAnchor editAs="oneCell">
    <xdr:from>
      <xdr:col>0</xdr:col>
      <xdr:colOff>42731</xdr:colOff>
      <xdr:row>25</xdr:row>
      <xdr:rowOff>12208</xdr:rowOff>
    </xdr:from>
    <xdr:to>
      <xdr:col>3</xdr:col>
      <xdr:colOff>534113</xdr:colOff>
      <xdr:row>36</xdr:row>
      <xdr:rowOff>128187</xdr:rowOff>
    </xdr:to>
    <xdr:pic>
      <xdr:nvPicPr>
        <xdr:cNvPr id="16" name="Picture 15">
          <a:extLst>
            <a:ext uri="{FF2B5EF4-FFF2-40B4-BE49-F238E27FC236}">
              <a16:creationId xmlns:a16="http://schemas.microsoft.com/office/drawing/2014/main" id="{D8B62826-3918-7793-F183-EB3E89C4B1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731" y="4590312"/>
          <a:ext cx="2322623" cy="2130345"/>
        </a:xfrm>
        <a:prstGeom prst="rect">
          <a:avLst/>
        </a:prstGeom>
      </xdr:spPr>
    </xdr:pic>
    <xdr:clientData/>
  </xdr:twoCellAnchor>
  <xdr:twoCellAnchor>
    <xdr:from>
      <xdr:col>25</xdr:col>
      <xdr:colOff>67146</xdr:colOff>
      <xdr:row>4</xdr:row>
      <xdr:rowOff>33574</xdr:rowOff>
    </xdr:from>
    <xdr:to>
      <xdr:col>28</xdr:col>
      <xdr:colOff>302155</xdr:colOff>
      <xdr:row>5</xdr:row>
      <xdr:rowOff>129714</xdr:rowOff>
    </xdr:to>
    <xdr:sp macro="" textlink="">
      <xdr:nvSpPr>
        <xdr:cNvPr id="17" name="TextBox 16">
          <a:extLst>
            <a:ext uri="{FF2B5EF4-FFF2-40B4-BE49-F238E27FC236}">
              <a16:creationId xmlns:a16="http://schemas.microsoft.com/office/drawing/2014/main" id="{E9E8FF63-0199-BB86-0F57-2A79E007EDCD}"/>
            </a:ext>
          </a:extLst>
        </xdr:cNvPr>
        <xdr:cNvSpPr txBox="1"/>
      </xdr:nvSpPr>
      <xdr:spPr>
        <a:xfrm>
          <a:off x="15327493" y="766071"/>
          <a:ext cx="2066251" cy="2792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a:t>
          </a:r>
          <a:r>
            <a:rPr lang="en-US" sz="1800" b="1" baseline="0"/>
            <a:t> Balance</a:t>
          </a:r>
          <a:endParaRPr lang="en-US" sz="1800" b="1"/>
        </a:p>
      </xdr:txBody>
    </xdr:sp>
    <xdr:clientData/>
  </xdr:twoCellAnchor>
  <xdr:twoCellAnchor>
    <xdr:from>
      <xdr:col>4</xdr:col>
      <xdr:colOff>85459</xdr:colOff>
      <xdr:row>11</xdr:row>
      <xdr:rowOff>10682</xdr:rowOff>
    </xdr:from>
    <xdr:to>
      <xdr:col>9</xdr:col>
      <xdr:colOff>437972</xdr:colOff>
      <xdr:row>21</xdr:row>
      <xdr:rowOff>42729</xdr:rowOff>
    </xdr:to>
    <xdr:graphicFrame macro="">
      <xdr:nvGraphicFramePr>
        <xdr:cNvPr id="18" name="Chart 17">
          <a:extLst>
            <a:ext uri="{FF2B5EF4-FFF2-40B4-BE49-F238E27FC236}">
              <a16:creationId xmlns:a16="http://schemas.microsoft.com/office/drawing/2014/main" id="{40CF7D24-4C19-4852-9E45-45C200171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587522</xdr:colOff>
      <xdr:row>10</xdr:row>
      <xdr:rowOff>170916</xdr:rowOff>
    </xdr:from>
    <xdr:to>
      <xdr:col>16</xdr:col>
      <xdr:colOff>138869</xdr:colOff>
      <xdr:row>21</xdr:row>
      <xdr:rowOff>96140</xdr:rowOff>
    </xdr:to>
    <xdr:graphicFrame macro="">
      <xdr:nvGraphicFramePr>
        <xdr:cNvPr id="19" name="Chart 18">
          <a:extLst>
            <a:ext uri="{FF2B5EF4-FFF2-40B4-BE49-F238E27FC236}">
              <a16:creationId xmlns:a16="http://schemas.microsoft.com/office/drawing/2014/main" id="{F61197CC-D8CF-4BA1-9AD9-C35944A3B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192280</xdr:colOff>
      <xdr:row>11</xdr:row>
      <xdr:rowOff>21364</xdr:rowOff>
    </xdr:from>
    <xdr:to>
      <xdr:col>22</xdr:col>
      <xdr:colOff>587521</xdr:colOff>
      <xdr:row>21</xdr:row>
      <xdr:rowOff>128186</xdr:rowOff>
    </xdr:to>
    <xdr:graphicFrame macro="">
      <xdr:nvGraphicFramePr>
        <xdr:cNvPr id="5" name="Chart 4">
          <a:extLst>
            <a:ext uri="{FF2B5EF4-FFF2-40B4-BE49-F238E27FC236}">
              <a16:creationId xmlns:a16="http://schemas.microsoft.com/office/drawing/2014/main" id="{D2342DD4-526C-42B2-ADA0-E0F040CCC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117505</xdr:colOff>
      <xdr:row>21</xdr:row>
      <xdr:rowOff>117504</xdr:rowOff>
    </xdr:from>
    <xdr:to>
      <xdr:col>10</xdr:col>
      <xdr:colOff>512748</xdr:colOff>
      <xdr:row>36</xdr:row>
      <xdr:rowOff>160233</xdr:rowOff>
    </xdr:to>
    <xdr:graphicFrame macro="">
      <xdr:nvGraphicFramePr>
        <xdr:cNvPr id="13" name="Chart 12">
          <a:extLst>
            <a:ext uri="{FF2B5EF4-FFF2-40B4-BE49-F238E27FC236}">
              <a16:creationId xmlns:a16="http://schemas.microsoft.com/office/drawing/2014/main" id="{839D4534-71E3-444F-9B33-27666D9E4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587524</xdr:colOff>
      <xdr:row>21</xdr:row>
      <xdr:rowOff>138870</xdr:rowOff>
    </xdr:from>
    <xdr:to>
      <xdr:col>17</xdr:col>
      <xdr:colOff>181599</xdr:colOff>
      <xdr:row>36</xdr:row>
      <xdr:rowOff>149552</xdr:rowOff>
    </xdr:to>
    <xdr:graphicFrame macro="">
      <xdr:nvGraphicFramePr>
        <xdr:cNvPr id="15" name="Chart 14">
          <a:extLst>
            <a:ext uri="{FF2B5EF4-FFF2-40B4-BE49-F238E27FC236}">
              <a16:creationId xmlns:a16="http://schemas.microsoft.com/office/drawing/2014/main" id="{ED917E57-A03C-4949-B0BB-F1768C45C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256375</xdr:colOff>
      <xdr:row>21</xdr:row>
      <xdr:rowOff>138869</xdr:rowOff>
    </xdr:from>
    <xdr:to>
      <xdr:col>23</xdr:col>
      <xdr:colOff>-1</xdr:colOff>
      <xdr:row>36</xdr:row>
      <xdr:rowOff>160232</xdr:rowOff>
    </xdr:to>
    <xdr:graphicFrame macro="">
      <xdr:nvGraphicFramePr>
        <xdr:cNvPr id="20" name="Chart 19">
          <a:extLst>
            <a:ext uri="{FF2B5EF4-FFF2-40B4-BE49-F238E27FC236}">
              <a16:creationId xmlns:a16="http://schemas.microsoft.com/office/drawing/2014/main" id="{E3AD9761-F0A9-4A24-B07B-46E4D73AE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47307</xdr:colOff>
      <xdr:row>11</xdr:row>
      <xdr:rowOff>73248</xdr:rowOff>
    </xdr:from>
    <xdr:to>
      <xdr:col>28</xdr:col>
      <xdr:colOff>512748</xdr:colOff>
      <xdr:row>22</xdr:row>
      <xdr:rowOff>36625</xdr:rowOff>
    </xdr:to>
    <xdr:graphicFrame macro="">
      <xdr:nvGraphicFramePr>
        <xdr:cNvPr id="22" name="Chart 21">
          <a:extLst>
            <a:ext uri="{FF2B5EF4-FFF2-40B4-BE49-F238E27FC236}">
              <a16:creationId xmlns:a16="http://schemas.microsoft.com/office/drawing/2014/main" id="{7D5F2A85-44FA-4F2E-A06A-0938602E3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12208</xdr:colOff>
      <xdr:row>22</xdr:row>
      <xdr:rowOff>48833</xdr:rowOff>
    </xdr:from>
    <xdr:to>
      <xdr:col>28</xdr:col>
      <xdr:colOff>524956</xdr:colOff>
      <xdr:row>36</xdr:row>
      <xdr:rowOff>158708</xdr:rowOff>
    </xdr:to>
    <xdr:graphicFrame macro="">
      <xdr:nvGraphicFramePr>
        <xdr:cNvPr id="24" name="Chart 23">
          <a:extLst>
            <a:ext uri="{FF2B5EF4-FFF2-40B4-BE49-F238E27FC236}">
              <a16:creationId xmlns:a16="http://schemas.microsoft.com/office/drawing/2014/main" id="{89D5470F-108E-47EE-9494-94A53BD49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598206</xdr:colOff>
      <xdr:row>0</xdr:row>
      <xdr:rowOff>36626</xdr:rowOff>
    </xdr:from>
    <xdr:to>
      <xdr:col>28</xdr:col>
      <xdr:colOff>24416</xdr:colOff>
      <xdr:row>3</xdr:row>
      <xdr:rowOff>97667</xdr:rowOff>
    </xdr:to>
    <mc:AlternateContent xmlns:mc="http://schemas.openxmlformats.org/markup-compatibility/2006" xmlns:a14="http://schemas.microsoft.com/office/drawing/2010/main">
      <mc:Choice Requires="a14">
        <xdr:graphicFrame macro="">
          <xdr:nvGraphicFramePr>
            <xdr:cNvPr id="25" name="Account-type 1">
              <a:extLst>
                <a:ext uri="{FF2B5EF4-FFF2-40B4-BE49-F238E27FC236}">
                  <a16:creationId xmlns:a16="http://schemas.microsoft.com/office/drawing/2014/main" id="{F9E82524-BA60-4CA7-94E4-20B31F38B031}"/>
                </a:ext>
              </a:extLst>
            </xdr:cNvPr>
            <xdr:cNvGraphicFramePr/>
          </xdr:nvGraphicFramePr>
          <xdr:xfrm>
            <a:off x="0" y="0"/>
            <a:ext cx="0" cy="0"/>
          </xdr:xfrm>
          <a:graphic>
            <a:graphicData uri="http://schemas.microsoft.com/office/drawing/2010/slicer">
              <sle:slicer xmlns:sle="http://schemas.microsoft.com/office/drawing/2010/slicer" name="Account-type 1"/>
            </a:graphicData>
          </a:graphic>
        </xdr:graphicFrame>
      </mc:Choice>
      <mc:Fallback xmlns="">
        <xdr:sp macro="" textlink="">
          <xdr:nvSpPr>
            <xdr:cNvPr id="0" name=""/>
            <xdr:cNvSpPr>
              <a:spLocks noTextEdit="1"/>
            </xdr:cNvSpPr>
          </xdr:nvSpPr>
          <xdr:spPr>
            <a:xfrm>
              <a:off x="12806483" y="36626"/>
              <a:ext cx="4309522" cy="610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104991</xdr:colOff>
      <xdr:row>9</xdr:row>
      <xdr:rowOff>111097</xdr:rowOff>
    </xdr:from>
    <xdr:to>
      <xdr:col>3</xdr:col>
      <xdr:colOff>512748</xdr:colOff>
      <xdr:row>16</xdr:row>
      <xdr:rowOff>97666</xdr:rowOff>
    </xdr:to>
    <mc:AlternateContent xmlns:mc="http://schemas.openxmlformats.org/markup-compatibility/2006" xmlns:a14="http://schemas.microsoft.com/office/drawing/2010/main">
      <mc:Choice Requires="a14">
        <xdr:graphicFrame macro="">
          <xdr:nvGraphicFramePr>
            <xdr:cNvPr id="26" name="Gender 1">
              <a:extLst>
                <a:ext uri="{FF2B5EF4-FFF2-40B4-BE49-F238E27FC236}">
                  <a16:creationId xmlns:a16="http://schemas.microsoft.com/office/drawing/2014/main" id="{E0892BC4-DB0C-4EB7-8250-944FFE03CDE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4991" y="1759214"/>
              <a:ext cx="2238998" cy="1268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134292</xdr:colOff>
      <xdr:row>15</xdr:row>
      <xdr:rowOff>36626</xdr:rowOff>
    </xdr:from>
    <xdr:to>
      <xdr:col>3</xdr:col>
      <xdr:colOff>451707</xdr:colOff>
      <xdr:row>24</xdr:row>
      <xdr:rowOff>48833</xdr:rowOff>
    </xdr:to>
    <mc:AlternateContent xmlns:mc="http://schemas.openxmlformats.org/markup-compatibility/2006" xmlns:a14="http://schemas.microsoft.com/office/drawing/2010/main">
      <mc:Choice Requires="a14">
        <xdr:graphicFrame macro="">
          <xdr:nvGraphicFramePr>
            <xdr:cNvPr id="27" name="State 1">
              <a:extLst>
                <a:ext uri="{FF2B5EF4-FFF2-40B4-BE49-F238E27FC236}">
                  <a16:creationId xmlns:a16="http://schemas.microsoft.com/office/drawing/2014/main" id="{C307F64B-13DE-4DDC-85B1-462F5ACF65D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34292" y="2783489"/>
              <a:ext cx="2148656" cy="1660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134291</xdr:colOff>
      <xdr:row>4</xdr:row>
      <xdr:rowOff>122082</xdr:rowOff>
    </xdr:from>
    <xdr:to>
      <xdr:col>12</xdr:col>
      <xdr:colOff>146499</xdr:colOff>
      <xdr:row>9</xdr:row>
      <xdr:rowOff>85458</xdr:rowOff>
    </xdr:to>
    <xdr:sp macro="" textlink="">
      <xdr:nvSpPr>
        <xdr:cNvPr id="28" name="TextBox 27">
          <a:extLst>
            <a:ext uri="{FF2B5EF4-FFF2-40B4-BE49-F238E27FC236}">
              <a16:creationId xmlns:a16="http://schemas.microsoft.com/office/drawing/2014/main" id="{3C6D0854-946F-E4EB-F54A-8A8AD9995B07}"/>
            </a:ext>
          </a:extLst>
        </xdr:cNvPr>
        <xdr:cNvSpPr txBox="1"/>
      </xdr:nvSpPr>
      <xdr:spPr>
        <a:xfrm>
          <a:off x="2575947" y="854579"/>
          <a:ext cx="4895519" cy="878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 2026 Branch Transaction</a:t>
          </a:r>
          <a:r>
            <a:rPr lang="en-US" sz="1400" baseline="0"/>
            <a:t> &amp; Customer BaLance Analysis including  4 bank branches located in Abuja, Ibadan, Lagos and  Kano.</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521293</xdr:colOff>
      <xdr:row>2</xdr:row>
      <xdr:rowOff>25638</xdr:rowOff>
    </xdr:from>
    <xdr:to>
      <xdr:col>6</xdr:col>
      <xdr:colOff>205099</xdr:colOff>
      <xdr:row>10</xdr:row>
      <xdr:rowOff>51275</xdr:rowOff>
    </xdr:to>
    <xdr:graphicFrame macro="">
      <xdr:nvGraphicFramePr>
        <xdr:cNvPr id="2" name="Chart 1">
          <a:extLst>
            <a:ext uri="{FF2B5EF4-FFF2-40B4-BE49-F238E27FC236}">
              <a16:creationId xmlns:a16="http://schemas.microsoft.com/office/drawing/2014/main" id="{BE3B3E93-8B8A-8BF2-B043-0507FA2C0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94005</xdr:colOff>
      <xdr:row>11</xdr:row>
      <xdr:rowOff>8545</xdr:rowOff>
    </xdr:from>
    <xdr:to>
      <xdr:col>7</xdr:col>
      <xdr:colOff>316195</xdr:colOff>
      <xdr:row>20</xdr:row>
      <xdr:rowOff>68366</xdr:rowOff>
    </xdr:to>
    <xdr:graphicFrame macro="">
      <xdr:nvGraphicFramePr>
        <xdr:cNvPr id="3" name="Chart 2">
          <a:extLst>
            <a:ext uri="{FF2B5EF4-FFF2-40B4-BE49-F238E27FC236}">
              <a16:creationId xmlns:a16="http://schemas.microsoft.com/office/drawing/2014/main" id="{7E0337CB-9754-0E65-1B00-25BAC2222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521293</xdr:colOff>
      <xdr:row>3</xdr:row>
      <xdr:rowOff>170916</xdr:rowOff>
    </xdr:from>
    <xdr:to>
      <xdr:col>15</xdr:col>
      <xdr:colOff>239282</xdr:colOff>
      <xdr:row>14</xdr:row>
      <xdr:rowOff>8546</xdr:rowOff>
    </xdr:to>
    <xdr:graphicFrame macro="">
      <xdr:nvGraphicFramePr>
        <xdr:cNvPr id="4" name="Chart 3">
          <a:extLst>
            <a:ext uri="{FF2B5EF4-FFF2-40B4-BE49-F238E27FC236}">
              <a16:creationId xmlns:a16="http://schemas.microsoft.com/office/drawing/2014/main" id="{7FF945F4-FE26-8FAD-2231-0FD268A70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581113</xdr:colOff>
      <xdr:row>28</xdr:row>
      <xdr:rowOff>128186</xdr:rowOff>
    </xdr:from>
    <xdr:to>
      <xdr:col>6</xdr:col>
      <xdr:colOff>341831</xdr:colOff>
      <xdr:row>40</xdr:row>
      <xdr:rowOff>136732</xdr:rowOff>
    </xdr:to>
    <xdr:graphicFrame macro="">
      <xdr:nvGraphicFramePr>
        <xdr:cNvPr id="5" name="Chart 4">
          <a:extLst>
            <a:ext uri="{FF2B5EF4-FFF2-40B4-BE49-F238E27FC236}">
              <a16:creationId xmlns:a16="http://schemas.microsoft.com/office/drawing/2014/main" id="{7AB5CB2E-1087-485D-C799-686FD0C52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8546</xdr:colOff>
      <xdr:row>42</xdr:row>
      <xdr:rowOff>59819</xdr:rowOff>
    </xdr:from>
    <xdr:to>
      <xdr:col>7</xdr:col>
      <xdr:colOff>153825</xdr:colOff>
      <xdr:row>53</xdr:row>
      <xdr:rowOff>59818</xdr:rowOff>
    </xdr:to>
    <xdr:graphicFrame macro="">
      <xdr:nvGraphicFramePr>
        <xdr:cNvPr id="6" name="Chart 5">
          <a:extLst>
            <a:ext uri="{FF2B5EF4-FFF2-40B4-BE49-F238E27FC236}">
              <a16:creationId xmlns:a16="http://schemas.microsoft.com/office/drawing/2014/main" id="{A9820D3E-44C2-CF27-B189-A7013C179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478564</xdr:colOff>
      <xdr:row>19</xdr:row>
      <xdr:rowOff>102549</xdr:rowOff>
    </xdr:from>
    <xdr:to>
      <xdr:col>13</xdr:col>
      <xdr:colOff>470020</xdr:colOff>
      <xdr:row>29</xdr:row>
      <xdr:rowOff>59820</xdr:rowOff>
    </xdr:to>
    <xdr:graphicFrame macro="">
      <xdr:nvGraphicFramePr>
        <xdr:cNvPr id="7" name="Chart 6">
          <a:extLst>
            <a:ext uri="{FF2B5EF4-FFF2-40B4-BE49-F238E27FC236}">
              <a16:creationId xmlns:a16="http://schemas.microsoft.com/office/drawing/2014/main" id="{851C7656-0C00-3C1F-1AF9-94FCAFED6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20</xdr:row>
      <xdr:rowOff>51274</xdr:rowOff>
    </xdr:from>
    <xdr:to>
      <xdr:col>7</xdr:col>
      <xdr:colOff>333286</xdr:colOff>
      <xdr:row>27</xdr:row>
      <xdr:rowOff>145280</xdr:rowOff>
    </xdr:to>
    <xdr:graphicFrame macro="">
      <xdr:nvGraphicFramePr>
        <xdr:cNvPr id="8" name="Chart 7">
          <a:extLst>
            <a:ext uri="{FF2B5EF4-FFF2-40B4-BE49-F238E27FC236}">
              <a16:creationId xmlns:a16="http://schemas.microsoft.com/office/drawing/2014/main" id="{F725697B-7859-AF52-684D-8667865BE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675118</xdr:colOff>
      <xdr:row>57</xdr:row>
      <xdr:rowOff>76911</xdr:rowOff>
    </xdr:from>
    <xdr:to>
      <xdr:col>13</xdr:col>
      <xdr:colOff>247828</xdr:colOff>
      <xdr:row>63</xdr:row>
      <xdr:rowOff>145279</xdr:rowOff>
    </xdr:to>
    <xdr:graphicFrame macro="">
      <xdr:nvGraphicFramePr>
        <xdr:cNvPr id="9" name="Chart 8">
          <a:extLst>
            <a:ext uri="{FF2B5EF4-FFF2-40B4-BE49-F238E27FC236}">
              <a16:creationId xmlns:a16="http://schemas.microsoft.com/office/drawing/2014/main" id="{7C77B6EC-D073-73F1-D52C-1032F3A54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675117</xdr:colOff>
      <xdr:row>50</xdr:row>
      <xdr:rowOff>68366</xdr:rowOff>
    </xdr:from>
    <xdr:to>
      <xdr:col>19</xdr:col>
      <xdr:colOff>222190</xdr:colOff>
      <xdr:row>65</xdr:row>
      <xdr:rowOff>119641</xdr:rowOff>
    </xdr:to>
    <xdr:graphicFrame macro="">
      <xdr:nvGraphicFramePr>
        <xdr:cNvPr id="10" name="Chart 9">
          <a:extLst>
            <a:ext uri="{FF2B5EF4-FFF2-40B4-BE49-F238E27FC236}">
              <a16:creationId xmlns:a16="http://schemas.microsoft.com/office/drawing/2014/main" id="{17BB5B85-0A91-DB47-ADE0-4A685FBAA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1358781</xdr:colOff>
      <xdr:row>1</xdr:row>
      <xdr:rowOff>162368</xdr:rowOff>
    </xdr:from>
    <xdr:to>
      <xdr:col>23</xdr:col>
      <xdr:colOff>59820</xdr:colOff>
      <xdr:row>17</xdr:row>
      <xdr:rowOff>34181</xdr:rowOff>
    </xdr:to>
    <xdr:graphicFrame macro="">
      <xdr:nvGraphicFramePr>
        <xdr:cNvPr id="11" name="Chart 10">
          <a:extLst>
            <a:ext uri="{FF2B5EF4-FFF2-40B4-BE49-F238E27FC236}">
              <a16:creationId xmlns:a16="http://schemas.microsoft.com/office/drawing/2014/main" id="{634E1B6C-7357-CCF4-57A1-DD19F47B0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598206</xdr:colOff>
      <xdr:row>21</xdr:row>
      <xdr:rowOff>128185</xdr:rowOff>
    </xdr:from>
    <xdr:to>
      <xdr:col>20</xdr:col>
      <xdr:colOff>285857</xdr:colOff>
      <xdr:row>26</xdr:row>
      <xdr:rowOff>53836</xdr:rowOff>
    </xdr:to>
    <mc:AlternateContent xmlns:mc="http://schemas.openxmlformats.org/markup-compatibility/2006" xmlns:a14="http://schemas.microsoft.com/office/drawing/2010/main">
      <mc:Choice Requires="a14">
        <xdr:graphicFrame macro="">
          <xdr:nvGraphicFramePr>
            <xdr:cNvPr id="12" name="Account-type">
              <a:extLst>
                <a:ext uri="{FF2B5EF4-FFF2-40B4-BE49-F238E27FC236}">
                  <a16:creationId xmlns:a16="http://schemas.microsoft.com/office/drawing/2014/main" id="{9F85E551-38AF-1C50-0191-E7A3B8EC6BAE}"/>
                </a:ext>
              </a:extLst>
            </xdr:cNvPr>
            <xdr:cNvGraphicFramePr/>
          </xdr:nvGraphicFramePr>
          <xdr:xfrm>
            <a:off x="0" y="0"/>
            <a:ext cx="0" cy="0"/>
          </xdr:xfrm>
          <a:graphic>
            <a:graphicData uri="http://schemas.microsoft.com/office/drawing/2010/slicer">
              <sle:slicer xmlns:sle="http://schemas.microsoft.com/office/drawing/2010/slicer" name="Account-type"/>
            </a:graphicData>
          </a:graphic>
        </xdr:graphicFrame>
      </mc:Choice>
      <mc:Fallback xmlns="">
        <xdr:sp macro="" textlink="">
          <xdr:nvSpPr>
            <xdr:cNvPr id="0" name=""/>
            <xdr:cNvSpPr>
              <a:spLocks noTextEdit="1"/>
            </xdr:cNvSpPr>
          </xdr:nvSpPr>
          <xdr:spPr>
            <a:xfrm>
              <a:off x="13502356" y="3896880"/>
              <a:ext cx="214884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273464</xdr:colOff>
      <xdr:row>27</xdr:row>
      <xdr:rowOff>153823</xdr:rowOff>
    </xdr:from>
    <xdr:to>
      <xdr:col>19</xdr:col>
      <xdr:colOff>494479</xdr:colOff>
      <xdr:row>36</xdr:row>
      <xdr:rowOff>8544</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1B46AE69-33FC-7FDF-19EB-30AF37B186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792911" y="4999288"/>
              <a:ext cx="1451610" cy="1469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734938</xdr:colOff>
      <xdr:row>11</xdr:row>
      <xdr:rowOff>102549</xdr:rowOff>
    </xdr:from>
    <xdr:to>
      <xdr:col>15</xdr:col>
      <xdr:colOff>948583</xdr:colOff>
      <xdr:row>19</xdr:row>
      <xdr:rowOff>136733</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39C69904-6626-DAAA-E016-47FF1D6A063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460052" y="2076628"/>
              <a:ext cx="1828800" cy="1469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7.503245717591" createdVersion="8" refreshedVersion="8" minRefreshableVersion="3" recordCount="150" xr:uid="{1A983428-CA84-4652-B319-64F9F1D5CCCC}">
  <cacheSource type="worksheet">
    <worksheetSource name="Table1"/>
  </cacheSource>
  <cacheFields count="17">
    <cacheField name="Customer_id" numFmtId="0">
      <sharedItems count="15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haredItems>
    </cacheField>
    <cacheField name="Customer-Name" numFmtId="0">
      <sharedItems count="10">
        <s v="Sophia White"/>
        <s v="David Brown"/>
        <s v="Mary Johnson"/>
        <s v="John Smith"/>
        <s v="Daniel Anderson"/>
        <s v="Olivia Thomas"/>
        <s v="Sarah Davis"/>
        <s v="James Jackson"/>
        <s v="Michael Wilson"/>
        <s v="Emily Taylor"/>
      </sharedItems>
    </cacheField>
    <cacheField name="Age" numFmtId="0">
      <sharedItems containsSemiMixedTypes="0" containsString="0" containsNumber="1" containsInteger="1" minValue="23" maxValue="55" count="9">
        <n v="51"/>
        <n v="55"/>
        <n v="48"/>
        <n v="23"/>
        <n v="25"/>
        <n v="32"/>
        <n v="28"/>
        <n v="54"/>
        <n v="24"/>
      </sharedItems>
    </cacheField>
    <cacheField name="Gender" numFmtId="0">
      <sharedItems count="2">
        <s v="Male"/>
        <s v="Female"/>
      </sharedItems>
    </cacheField>
    <cacheField name="Account-type" numFmtId="0">
      <sharedItems count="3">
        <s v="Current"/>
        <s v="Savings"/>
        <s v="Fixed"/>
      </sharedItems>
    </cacheField>
    <cacheField name="Balance" numFmtId="0">
      <sharedItems containsSemiMixedTypes="0" containsString="0" containsNumber="1" containsInteger="1" minValue="3040" maxValue="24978"/>
    </cacheField>
    <cacheField name="Transaction-Type" numFmtId="0">
      <sharedItems count="3">
        <s v="Deposit"/>
        <s v="Withdrawal"/>
        <s v="Transfer"/>
      </sharedItems>
    </cacheField>
    <cacheField name="transation-amount" numFmtId="0">
      <sharedItems containsSemiMixedTypes="0" containsString="0" containsNumber="1" containsInteger="1" minValue="512" maxValue="4997"/>
    </cacheField>
    <cacheField name="Date" numFmtId="0">
      <sharedItems count="150">
        <s v="2025-01-02"/>
        <s v="2025-01-03"/>
        <s v="2025-01-04"/>
        <s v="2025-01-05"/>
        <s v="2025-01-06"/>
        <s v="2025-01-07"/>
        <s v="2025-01-08"/>
        <s v="2025-01-09"/>
        <s v="2025-01-10"/>
        <s v="2025-01-11"/>
        <s v="2025-01-12"/>
        <s v="2025-01-13"/>
        <s v="2025-01-14"/>
        <s v="2025-01-15"/>
        <s v="2025-01-16"/>
        <s v="2025-01-17"/>
        <s v="2025-01-18"/>
        <s v="2025-01-19"/>
        <s v="2025-01-20"/>
        <s v="2025-01-21"/>
        <s v="2025-01-22"/>
        <s v="2025-01-23"/>
        <s v="2025-01-24"/>
        <s v="2025-01-25"/>
        <s v="2025-01-26"/>
        <s v="2025-01-27"/>
        <s v="2025-01-28"/>
        <s v="2025-01-29"/>
        <s v="2025-01-30"/>
        <s v="2025-01-31"/>
        <s v="2025-02-01"/>
        <s v="2025-02-02"/>
        <s v="2025-02-03"/>
        <s v="2025-02-04"/>
        <s v="2025-02-05"/>
        <s v="2025-02-06"/>
        <s v="2025-02-07"/>
        <s v="2025-02-08"/>
        <s v="2025-02-09"/>
        <s v="2025-02-10"/>
        <s v="2025-02-11"/>
        <s v="2025-02-12"/>
        <s v="2025-02-13"/>
        <s v="2025-02-14"/>
        <s v="2025-02-15"/>
        <s v="2025-02-16"/>
        <s v="2025-02-17"/>
        <s v="2025-02-18"/>
        <s v="2025-02-19"/>
        <s v="2025-02-20"/>
        <s v="2025-02-21"/>
        <s v="2025-02-22"/>
        <s v="2025-02-23"/>
        <s v="2025-02-24"/>
        <s v="2025-02-25"/>
        <s v="2025-02-26"/>
        <s v="2025-02-27"/>
        <s v="2025-02-28"/>
        <s v="2025-03-01"/>
        <s v="2025-03-02"/>
        <s v="2025-03-03"/>
        <s v="2025-03-04"/>
        <s v="2025-03-05"/>
        <s v="2025-03-06"/>
        <s v="2025-03-07"/>
        <s v="2025-03-08"/>
        <s v="2025-03-09"/>
        <s v="2025-03-10"/>
        <s v="2025-03-11"/>
        <s v="2025-03-12"/>
        <s v="2025-03-13"/>
        <s v="2025-03-14"/>
        <s v="2025-03-15"/>
        <s v="2025-03-16"/>
        <s v="2025-03-17"/>
        <s v="2025-03-18"/>
        <s v="2025-03-19"/>
        <s v="2025-03-20"/>
        <s v="2025-03-21"/>
        <s v="2025-03-22"/>
        <s v="2025-03-23"/>
        <s v="2025-03-24"/>
        <s v="2025-03-25"/>
        <s v="2025-03-26"/>
        <s v="2025-03-27"/>
        <s v="2025-03-28"/>
        <s v="2025-03-29"/>
        <s v="2025-03-30"/>
        <s v="2025-03-31"/>
        <s v="2025-04-01"/>
        <s v="2025-04-02"/>
        <s v="2025-04-03"/>
        <s v="2025-04-04"/>
        <s v="2025-04-05"/>
        <s v="2025-04-06"/>
        <s v="2025-04-07"/>
        <s v="2025-04-08"/>
        <s v="2025-04-09"/>
        <s v="2025-04-10"/>
        <s v="2025-04-11"/>
        <s v="2025-04-12"/>
        <s v="2025-04-13"/>
        <s v="2025-04-14"/>
        <s v="2025-04-15"/>
        <s v="2025-04-16"/>
        <s v="2025-04-17"/>
        <s v="2025-04-18"/>
        <s v="2025-04-19"/>
        <s v="2025-04-20"/>
        <s v="2025-04-21"/>
        <s v="2025-04-22"/>
        <s v="2025-04-23"/>
        <s v="2025-04-24"/>
        <s v="2025-04-25"/>
        <s v="2025-04-26"/>
        <s v="2025-04-27"/>
        <s v="2025-04-28"/>
        <s v="2025-04-29"/>
        <s v="2025-04-30"/>
        <s v="2025-05-01"/>
        <s v="2025-05-02"/>
        <s v="2025-05-03"/>
        <s v="2025-05-04"/>
        <s v="2025-05-05"/>
        <s v="2025-05-06"/>
        <s v="2025-05-07"/>
        <s v="2025-05-08"/>
        <s v="2025-05-09"/>
        <s v="2025-05-10"/>
        <s v="2025-05-11"/>
        <s v="2025-05-12"/>
        <s v="2025-05-13"/>
        <s v="2025-05-14"/>
        <s v="2025-05-15"/>
        <s v="2025-05-16"/>
        <s v="2025-05-17"/>
        <s v="2025-05-18"/>
        <s v="2025-05-19"/>
        <s v="2025-05-20"/>
        <s v="2025-05-21"/>
        <s v="2025-05-22"/>
        <s v="2025-05-23"/>
        <s v="2025-05-24"/>
        <s v="2025-05-25"/>
        <s v="2025-05-26"/>
        <s v="2025-05-27"/>
        <s v="2025-05-28"/>
        <s v="2025-05-29"/>
        <s v="2025-05-30"/>
        <s v="2025-05-31"/>
      </sharedItems>
    </cacheField>
    <cacheField name="State" numFmtId="0">
      <sharedItems count="4">
        <s v="Kano"/>
        <s v="Ibadan"/>
        <s v="Abuja"/>
        <s v="Lagos"/>
      </sharedItems>
    </cacheField>
    <cacheField name="Loan status" numFmtId="0">
      <sharedItems count="2">
        <s v="No"/>
        <s v="Yes"/>
      </sharedItems>
    </cacheField>
    <cacheField name="mont-date" numFmtId="0">
      <sharedItems count="5">
        <s v="Jan"/>
        <s v="Feb"/>
        <s v="Mar"/>
        <s v="Apr"/>
        <s v="May"/>
      </sharedItems>
    </cacheField>
    <cacheField name="customer-value" numFmtId="0">
      <sharedItems/>
    </cacheField>
    <cacheField name="Kano" numFmtId="0">
      <sharedItems containsString="0" containsBlank="1" containsNumber="1" containsInteger="1" minValue="100223" maxValue="100223"/>
    </cacheField>
    <cacheField name="abuja" numFmtId="0">
      <sharedItems containsString="0" containsBlank="1" containsNumber="1" containsInteger="1" minValue="113617" maxValue="113617"/>
    </cacheField>
    <cacheField name="ibadan" numFmtId="0">
      <sharedItems containsString="0" containsBlank="1" containsNumber="1" containsInteger="1" minValue="120894" maxValue="120894"/>
    </cacheField>
    <cacheField name="Lagos" numFmtId="0">
      <sharedItems containsString="0" containsBlank="1" containsNumber="1" containsInteger="1" minValue="78950" maxValue="78950"/>
    </cacheField>
  </cacheFields>
  <extLst>
    <ext xmlns:x14="http://schemas.microsoft.com/office/spreadsheetml/2009/9/main" uri="{725AE2AE-9491-48be-B2B4-4EB974FC3084}">
      <x14:pivotCacheDefinition pivotCacheId="2062549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n v="8295"/>
    <x v="0"/>
    <n v="1091"/>
    <x v="0"/>
    <x v="0"/>
    <x v="0"/>
    <x v="0"/>
    <s v="low"/>
    <n v="100223"/>
    <n v="113617"/>
    <n v="120894"/>
    <n v="78950"/>
  </r>
  <r>
    <x v="1"/>
    <x v="1"/>
    <x v="0"/>
    <x v="0"/>
    <x v="1"/>
    <n v="3989"/>
    <x v="1"/>
    <n v="1178"/>
    <x v="1"/>
    <x v="1"/>
    <x v="0"/>
    <x v="0"/>
    <s v="low"/>
    <m/>
    <m/>
    <m/>
    <m/>
  </r>
  <r>
    <x v="2"/>
    <x v="2"/>
    <x v="1"/>
    <x v="0"/>
    <x v="2"/>
    <n v="5848"/>
    <x v="2"/>
    <n v="2952"/>
    <x v="2"/>
    <x v="1"/>
    <x v="0"/>
    <x v="0"/>
    <s v="low"/>
    <m/>
    <m/>
    <m/>
    <m/>
  </r>
  <r>
    <x v="3"/>
    <x v="3"/>
    <x v="2"/>
    <x v="0"/>
    <x v="0"/>
    <n v="22075"/>
    <x v="1"/>
    <n v="1710"/>
    <x v="3"/>
    <x v="2"/>
    <x v="0"/>
    <x v="0"/>
    <s v="High"/>
    <m/>
    <m/>
    <m/>
    <m/>
  </r>
  <r>
    <x v="4"/>
    <x v="4"/>
    <x v="3"/>
    <x v="0"/>
    <x v="0"/>
    <n v="6244"/>
    <x v="2"/>
    <n v="4722"/>
    <x v="4"/>
    <x v="1"/>
    <x v="1"/>
    <x v="0"/>
    <s v="low"/>
    <m/>
    <m/>
    <m/>
    <m/>
  </r>
  <r>
    <x v="5"/>
    <x v="0"/>
    <x v="0"/>
    <x v="0"/>
    <x v="2"/>
    <n v="6657"/>
    <x v="1"/>
    <n v="3049"/>
    <x v="5"/>
    <x v="3"/>
    <x v="0"/>
    <x v="0"/>
    <s v="low"/>
    <m/>
    <m/>
    <m/>
    <m/>
  </r>
  <r>
    <x v="6"/>
    <x v="4"/>
    <x v="3"/>
    <x v="0"/>
    <x v="2"/>
    <n v="19388"/>
    <x v="2"/>
    <n v="2423"/>
    <x v="6"/>
    <x v="2"/>
    <x v="0"/>
    <x v="0"/>
    <s v="High"/>
    <m/>
    <m/>
    <m/>
    <m/>
  </r>
  <r>
    <x v="7"/>
    <x v="5"/>
    <x v="4"/>
    <x v="1"/>
    <x v="1"/>
    <n v="11907"/>
    <x v="2"/>
    <n v="4332"/>
    <x v="7"/>
    <x v="3"/>
    <x v="1"/>
    <x v="0"/>
    <s v="High"/>
    <m/>
    <m/>
    <m/>
    <m/>
  </r>
  <r>
    <x v="8"/>
    <x v="3"/>
    <x v="2"/>
    <x v="1"/>
    <x v="0"/>
    <n v="12628"/>
    <x v="1"/>
    <n v="2148"/>
    <x v="8"/>
    <x v="2"/>
    <x v="1"/>
    <x v="0"/>
    <s v="High"/>
    <m/>
    <m/>
    <m/>
    <m/>
  </r>
  <r>
    <x v="9"/>
    <x v="0"/>
    <x v="0"/>
    <x v="0"/>
    <x v="2"/>
    <n v="6207"/>
    <x v="2"/>
    <n v="1380"/>
    <x v="9"/>
    <x v="3"/>
    <x v="0"/>
    <x v="0"/>
    <s v="low"/>
    <m/>
    <m/>
    <m/>
    <m/>
  </r>
  <r>
    <x v="10"/>
    <x v="3"/>
    <x v="2"/>
    <x v="0"/>
    <x v="0"/>
    <n v="8679"/>
    <x v="1"/>
    <n v="2343"/>
    <x v="10"/>
    <x v="2"/>
    <x v="1"/>
    <x v="0"/>
    <s v="low"/>
    <m/>
    <m/>
    <m/>
    <m/>
  </r>
  <r>
    <x v="11"/>
    <x v="5"/>
    <x v="4"/>
    <x v="1"/>
    <x v="0"/>
    <n v="20111"/>
    <x v="0"/>
    <n v="4831"/>
    <x v="11"/>
    <x v="1"/>
    <x v="0"/>
    <x v="0"/>
    <s v="High"/>
    <m/>
    <m/>
    <m/>
    <m/>
  </r>
  <r>
    <x v="12"/>
    <x v="6"/>
    <x v="5"/>
    <x v="0"/>
    <x v="2"/>
    <n v="12793"/>
    <x v="0"/>
    <n v="3260"/>
    <x v="12"/>
    <x v="1"/>
    <x v="0"/>
    <x v="0"/>
    <s v="High"/>
    <m/>
    <m/>
    <m/>
    <m/>
  </r>
  <r>
    <x v="13"/>
    <x v="7"/>
    <x v="6"/>
    <x v="0"/>
    <x v="1"/>
    <n v="19628"/>
    <x v="0"/>
    <n v="4810"/>
    <x v="13"/>
    <x v="0"/>
    <x v="1"/>
    <x v="0"/>
    <s v="High"/>
    <m/>
    <m/>
    <m/>
    <m/>
  </r>
  <r>
    <x v="14"/>
    <x v="5"/>
    <x v="4"/>
    <x v="1"/>
    <x v="2"/>
    <n v="15298"/>
    <x v="1"/>
    <n v="3715"/>
    <x v="14"/>
    <x v="0"/>
    <x v="1"/>
    <x v="0"/>
    <s v="High"/>
    <m/>
    <m/>
    <m/>
    <m/>
  </r>
  <r>
    <x v="15"/>
    <x v="1"/>
    <x v="0"/>
    <x v="1"/>
    <x v="1"/>
    <n v="7840"/>
    <x v="0"/>
    <n v="4367"/>
    <x v="15"/>
    <x v="0"/>
    <x v="0"/>
    <x v="0"/>
    <s v="low"/>
    <m/>
    <m/>
    <m/>
    <m/>
  </r>
  <r>
    <x v="16"/>
    <x v="2"/>
    <x v="1"/>
    <x v="1"/>
    <x v="1"/>
    <n v="23933"/>
    <x v="2"/>
    <n v="4430"/>
    <x v="16"/>
    <x v="1"/>
    <x v="0"/>
    <x v="0"/>
    <s v="High"/>
    <m/>
    <m/>
    <m/>
    <m/>
  </r>
  <r>
    <x v="17"/>
    <x v="8"/>
    <x v="7"/>
    <x v="0"/>
    <x v="0"/>
    <n v="23585"/>
    <x v="1"/>
    <n v="1396"/>
    <x v="17"/>
    <x v="3"/>
    <x v="1"/>
    <x v="0"/>
    <s v="High"/>
    <m/>
    <m/>
    <m/>
    <m/>
  </r>
  <r>
    <x v="18"/>
    <x v="8"/>
    <x v="7"/>
    <x v="0"/>
    <x v="1"/>
    <n v="21680"/>
    <x v="2"/>
    <n v="1235"/>
    <x v="18"/>
    <x v="2"/>
    <x v="1"/>
    <x v="0"/>
    <s v="High"/>
    <m/>
    <m/>
    <m/>
    <m/>
  </r>
  <r>
    <x v="19"/>
    <x v="7"/>
    <x v="6"/>
    <x v="0"/>
    <x v="2"/>
    <n v="19558"/>
    <x v="0"/>
    <n v="2539"/>
    <x v="19"/>
    <x v="2"/>
    <x v="0"/>
    <x v="0"/>
    <s v="High"/>
    <m/>
    <m/>
    <m/>
    <m/>
  </r>
  <r>
    <x v="20"/>
    <x v="1"/>
    <x v="0"/>
    <x v="0"/>
    <x v="1"/>
    <n v="10473"/>
    <x v="1"/>
    <n v="2835"/>
    <x v="20"/>
    <x v="2"/>
    <x v="0"/>
    <x v="0"/>
    <s v="High"/>
    <m/>
    <m/>
    <m/>
    <m/>
  </r>
  <r>
    <x v="21"/>
    <x v="2"/>
    <x v="1"/>
    <x v="0"/>
    <x v="2"/>
    <n v="17508"/>
    <x v="0"/>
    <n v="1755"/>
    <x v="21"/>
    <x v="1"/>
    <x v="1"/>
    <x v="0"/>
    <s v="High"/>
    <m/>
    <m/>
    <m/>
    <m/>
  </r>
  <r>
    <x v="22"/>
    <x v="1"/>
    <x v="0"/>
    <x v="0"/>
    <x v="1"/>
    <n v="11279"/>
    <x v="1"/>
    <n v="1251"/>
    <x v="22"/>
    <x v="1"/>
    <x v="0"/>
    <x v="0"/>
    <s v="High"/>
    <m/>
    <m/>
    <m/>
    <m/>
  </r>
  <r>
    <x v="23"/>
    <x v="6"/>
    <x v="5"/>
    <x v="1"/>
    <x v="0"/>
    <n v="22649"/>
    <x v="2"/>
    <n v="691"/>
    <x v="23"/>
    <x v="1"/>
    <x v="1"/>
    <x v="0"/>
    <s v="High"/>
    <m/>
    <m/>
    <m/>
    <m/>
  </r>
  <r>
    <x v="24"/>
    <x v="5"/>
    <x v="4"/>
    <x v="0"/>
    <x v="2"/>
    <n v="3493"/>
    <x v="0"/>
    <n v="2206"/>
    <x v="24"/>
    <x v="1"/>
    <x v="1"/>
    <x v="0"/>
    <s v="low"/>
    <m/>
    <m/>
    <m/>
    <m/>
  </r>
  <r>
    <x v="25"/>
    <x v="2"/>
    <x v="1"/>
    <x v="0"/>
    <x v="0"/>
    <n v="14325"/>
    <x v="0"/>
    <n v="3310"/>
    <x v="25"/>
    <x v="2"/>
    <x v="0"/>
    <x v="0"/>
    <s v="High"/>
    <m/>
    <m/>
    <m/>
    <m/>
  </r>
  <r>
    <x v="26"/>
    <x v="6"/>
    <x v="5"/>
    <x v="0"/>
    <x v="0"/>
    <n v="7362"/>
    <x v="2"/>
    <n v="2938"/>
    <x v="26"/>
    <x v="3"/>
    <x v="1"/>
    <x v="0"/>
    <s v="low"/>
    <m/>
    <m/>
    <m/>
    <m/>
  </r>
  <r>
    <x v="27"/>
    <x v="9"/>
    <x v="8"/>
    <x v="1"/>
    <x v="1"/>
    <n v="15230"/>
    <x v="1"/>
    <n v="4158"/>
    <x v="27"/>
    <x v="1"/>
    <x v="0"/>
    <x v="0"/>
    <s v="High"/>
    <m/>
    <m/>
    <m/>
    <m/>
  </r>
  <r>
    <x v="28"/>
    <x v="8"/>
    <x v="7"/>
    <x v="0"/>
    <x v="1"/>
    <n v="17972"/>
    <x v="0"/>
    <n v="512"/>
    <x v="28"/>
    <x v="0"/>
    <x v="1"/>
    <x v="0"/>
    <s v="High"/>
    <m/>
    <m/>
    <m/>
    <m/>
  </r>
  <r>
    <x v="29"/>
    <x v="3"/>
    <x v="2"/>
    <x v="0"/>
    <x v="0"/>
    <n v="6909"/>
    <x v="1"/>
    <n v="733"/>
    <x v="29"/>
    <x v="3"/>
    <x v="1"/>
    <x v="0"/>
    <s v="low"/>
    <m/>
    <m/>
    <m/>
    <m/>
  </r>
  <r>
    <x v="30"/>
    <x v="0"/>
    <x v="0"/>
    <x v="0"/>
    <x v="2"/>
    <n v="13528"/>
    <x v="2"/>
    <n v="4080"/>
    <x v="30"/>
    <x v="0"/>
    <x v="0"/>
    <x v="1"/>
    <s v="High"/>
    <m/>
    <m/>
    <m/>
    <m/>
  </r>
  <r>
    <x v="31"/>
    <x v="0"/>
    <x v="0"/>
    <x v="0"/>
    <x v="0"/>
    <n v="4545"/>
    <x v="0"/>
    <n v="3751"/>
    <x v="31"/>
    <x v="3"/>
    <x v="1"/>
    <x v="1"/>
    <s v="low"/>
    <m/>
    <m/>
    <m/>
    <m/>
  </r>
  <r>
    <x v="32"/>
    <x v="9"/>
    <x v="8"/>
    <x v="1"/>
    <x v="2"/>
    <n v="11393"/>
    <x v="1"/>
    <n v="2577"/>
    <x v="32"/>
    <x v="0"/>
    <x v="0"/>
    <x v="1"/>
    <s v="High"/>
    <m/>
    <m/>
    <m/>
    <m/>
  </r>
  <r>
    <x v="33"/>
    <x v="4"/>
    <x v="3"/>
    <x v="1"/>
    <x v="1"/>
    <n v="4704"/>
    <x v="1"/>
    <n v="3783"/>
    <x v="33"/>
    <x v="0"/>
    <x v="0"/>
    <x v="1"/>
    <s v="low"/>
    <m/>
    <m/>
    <m/>
    <m/>
  </r>
  <r>
    <x v="34"/>
    <x v="5"/>
    <x v="4"/>
    <x v="1"/>
    <x v="0"/>
    <n v="22612"/>
    <x v="0"/>
    <n v="3090"/>
    <x v="34"/>
    <x v="0"/>
    <x v="0"/>
    <x v="1"/>
    <s v="High"/>
    <m/>
    <m/>
    <m/>
    <m/>
  </r>
  <r>
    <x v="35"/>
    <x v="5"/>
    <x v="4"/>
    <x v="0"/>
    <x v="0"/>
    <n v="15027"/>
    <x v="0"/>
    <n v="2329"/>
    <x v="35"/>
    <x v="3"/>
    <x v="1"/>
    <x v="1"/>
    <s v="High"/>
    <m/>
    <m/>
    <m/>
    <m/>
  </r>
  <r>
    <x v="36"/>
    <x v="9"/>
    <x v="8"/>
    <x v="0"/>
    <x v="0"/>
    <n v="16005"/>
    <x v="1"/>
    <n v="4287"/>
    <x v="36"/>
    <x v="2"/>
    <x v="0"/>
    <x v="1"/>
    <s v="High"/>
    <m/>
    <m/>
    <m/>
    <m/>
  </r>
  <r>
    <x v="37"/>
    <x v="4"/>
    <x v="3"/>
    <x v="1"/>
    <x v="0"/>
    <n v="18842"/>
    <x v="0"/>
    <n v="2616"/>
    <x v="37"/>
    <x v="2"/>
    <x v="1"/>
    <x v="1"/>
    <s v="High"/>
    <m/>
    <m/>
    <m/>
    <m/>
  </r>
  <r>
    <x v="38"/>
    <x v="1"/>
    <x v="0"/>
    <x v="1"/>
    <x v="0"/>
    <n v="14666"/>
    <x v="1"/>
    <n v="2858"/>
    <x v="38"/>
    <x v="1"/>
    <x v="1"/>
    <x v="1"/>
    <s v="High"/>
    <m/>
    <m/>
    <m/>
    <m/>
  </r>
  <r>
    <x v="39"/>
    <x v="7"/>
    <x v="6"/>
    <x v="0"/>
    <x v="2"/>
    <n v="12463"/>
    <x v="0"/>
    <n v="4353"/>
    <x v="39"/>
    <x v="3"/>
    <x v="1"/>
    <x v="1"/>
    <s v="High"/>
    <m/>
    <m/>
    <m/>
    <m/>
  </r>
  <r>
    <x v="40"/>
    <x v="4"/>
    <x v="3"/>
    <x v="1"/>
    <x v="2"/>
    <n v="24608"/>
    <x v="0"/>
    <n v="1851"/>
    <x v="40"/>
    <x v="2"/>
    <x v="0"/>
    <x v="1"/>
    <s v="High"/>
    <m/>
    <m/>
    <m/>
    <m/>
  </r>
  <r>
    <x v="41"/>
    <x v="9"/>
    <x v="8"/>
    <x v="0"/>
    <x v="2"/>
    <n v="3447"/>
    <x v="0"/>
    <n v="3866"/>
    <x v="41"/>
    <x v="0"/>
    <x v="1"/>
    <x v="1"/>
    <s v="low"/>
    <m/>
    <m/>
    <m/>
    <m/>
  </r>
  <r>
    <x v="42"/>
    <x v="5"/>
    <x v="4"/>
    <x v="0"/>
    <x v="0"/>
    <n v="13765"/>
    <x v="2"/>
    <n v="1747"/>
    <x v="42"/>
    <x v="0"/>
    <x v="1"/>
    <x v="1"/>
    <s v="High"/>
    <m/>
    <m/>
    <m/>
    <m/>
  </r>
  <r>
    <x v="43"/>
    <x v="5"/>
    <x v="4"/>
    <x v="0"/>
    <x v="0"/>
    <n v="6009"/>
    <x v="2"/>
    <n v="1907"/>
    <x v="43"/>
    <x v="2"/>
    <x v="0"/>
    <x v="1"/>
    <s v="low"/>
    <m/>
    <m/>
    <m/>
    <m/>
  </r>
  <r>
    <x v="44"/>
    <x v="1"/>
    <x v="0"/>
    <x v="1"/>
    <x v="2"/>
    <n v="21550"/>
    <x v="1"/>
    <n v="4997"/>
    <x v="44"/>
    <x v="2"/>
    <x v="0"/>
    <x v="1"/>
    <s v="High"/>
    <m/>
    <m/>
    <m/>
    <m/>
  </r>
  <r>
    <x v="45"/>
    <x v="9"/>
    <x v="8"/>
    <x v="0"/>
    <x v="1"/>
    <n v="23861"/>
    <x v="1"/>
    <n v="1485"/>
    <x v="45"/>
    <x v="0"/>
    <x v="0"/>
    <x v="1"/>
    <s v="High"/>
    <m/>
    <m/>
    <m/>
    <m/>
  </r>
  <r>
    <x v="46"/>
    <x v="9"/>
    <x v="8"/>
    <x v="0"/>
    <x v="2"/>
    <n v="11940"/>
    <x v="0"/>
    <n v="528"/>
    <x v="46"/>
    <x v="2"/>
    <x v="0"/>
    <x v="1"/>
    <s v="High"/>
    <m/>
    <m/>
    <m/>
    <m/>
  </r>
  <r>
    <x v="47"/>
    <x v="0"/>
    <x v="0"/>
    <x v="0"/>
    <x v="1"/>
    <n v="13515"/>
    <x v="2"/>
    <n v="2372"/>
    <x v="47"/>
    <x v="0"/>
    <x v="1"/>
    <x v="1"/>
    <s v="High"/>
    <m/>
    <m/>
    <m/>
    <m/>
  </r>
  <r>
    <x v="48"/>
    <x v="3"/>
    <x v="2"/>
    <x v="1"/>
    <x v="1"/>
    <n v="10502"/>
    <x v="2"/>
    <n v="3220"/>
    <x v="48"/>
    <x v="1"/>
    <x v="1"/>
    <x v="1"/>
    <s v="High"/>
    <m/>
    <m/>
    <m/>
    <m/>
  </r>
  <r>
    <x v="49"/>
    <x v="9"/>
    <x v="8"/>
    <x v="1"/>
    <x v="1"/>
    <n v="14867"/>
    <x v="2"/>
    <n v="2732"/>
    <x v="49"/>
    <x v="0"/>
    <x v="1"/>
    <x v="1"/>
    <s v="High"/>
    <m/>
    <m/>
    <m/>
    <m/>
  </r>
  <r>
    <x v="50"/>
    <x v="2"/>
    <x v="1"/>
    <x v="1"/>
    <x v="0"/>
    <n v="11892"/>
    <x v="0"/>
    <n v="4698"/>
    <x v="50"/>
    <x v="1"/>
    <x v="0"/>
    <x v="1"/>
    <s v="High"/>
    <m/>
    <m/>
    <m/>
    <m/>
  </r>
  <r>
    <x v="51"/>
    <x v="3"/>
    <x v="2"/>
    <x v="0"/>
    <x v="2"/>
    <n v="19041"/>
    <x v="2"/>
    <n v="1452"/>
    <x v="51"/>
    <x v="1"/>
    <x v="1"/>
    <x v="1"/>
    <s v="High"/>
    <m/>
    <m/>
    <m/>
    <m/>
  </r>
  <r>
    <x v="52"/>
    <x v="4"/>
    <x v="3"/>
    <x v="1"/>
    <x v="2"/>
    <n v="24686"/>
    <x v="1"/>
    <n v="3755"/>
    <x v="52"/>
    <x v="0"/>
    <x v="1"/>
    <x v="1"/>
    <s v="High"/>
    <m/>
    <m/>
    <m/>
    <m/>
  </r>
  <r>
    <x v="53"/>
    <x v="6"/>
    <x v="5"/>
    <x v="0"/>
    <x v="1"/>
    <n v="13663"/>
    <x v="2"/>
    <n v="2775"/>
    <x v="53"/>
    <x v="1"/>
    <x v="1"/>
    <x v="1"/>
    <s v="High"/>
    <m/>
    <m/>
    <m/>
    <m/>
  </r>
  <r>
    <x v="54"/>
    <x v="4"/>
    <x v="3"/>
    <x v="0"/>
    <x v="2"/>
    <n v="24486"/>
    <x v="1"/>
    <n v="2606"/>
    <x v="54"/>
    <x v="0"/>
    <x v="1"/>
    <x v="1"/>
    <s v="High"/>
    <m/>
    <m/>
    <m/>
    <m/>
  </r>
  <r>
    <x v="55"/>
    <x v="3"/>
    <x v="2"/>
    <x v="1"/>
    <x v="0"/>
    <n v="3674"/>
    <x v="2"/>
    <n v="2928"/>
    <x v="55"/>
    <x v="3"/>
    <x v="0"/>
    <x v="1"/>
    <s v="low"/>
    <m/>
    <m/>
    <m/>
    <m/>
  </r>
  <r>
    <x v="56"/>
    <x v="9"/>
    <x v="8"/>
    <x v="0"/>
    <x v="2"/>
    <n v="12384"/>
    <x v="2"/>
    <n v="999"/>
    <x v="56"/>
    <x v="1"/>
    <x v="1"/>
    <x v="1"/>
    <s v="High"/>
    <m/>
    <m/>
    <m/>
    <m/>
  </r>
  <r>
    <x v="57"/>
    <x v="1"/>
    <x v="0"/>
    <x v="0"/>
    <x v="2"/>
    <n v="6335"/>
    <x v="1"/>
    <n v="4512"/>
    <x v="57"/>
    <x v="3"/>
    <x v="1"/>
    <x v="1"/>
    <s v="low"/>
    <m/>
    <m/>
    <m/>
    <m/>
  </r>
  <r>
    <x v="58"/>
    <x v="1"/>
    <x v="0"/>
    <x v="0"/>
    <x v="1"/>
    <n v="23871"/>
    <x v="0"/>
    <n v="1905"/>
    <x v="58"/>
    <x v="0"/>
    <x v="1"/>
    <x v="2"/>
    <s v="High"/>
    <m/>
    <m/>
    <m/>
    <m/>
  </r>
  <r>
    <x v="59"/>
    <x v="6"/>
    <x v="5"/>
    <x v="1"/>
    <x v="1"/>
    <n v="18575"/>
    <x v="0"/>
    <n v="3952"/>
    <x v="59"/>
    <x v="2"/>
    <x v="0"/>
    <x v="2"/>
    <s v="High"/>
    <m/>
    <m/>
    <m/>
    <m/>
  </r>
  <r>
    <x v="60"/>
    <x v="0"/>
    <x v="0"/>
    <x v="1"/>
    <x v="0"/>
    <n v="3040"/>
    <x v="1"/>
    <n v="4309"/>
    <x v="60"/>
    <x v="2"/>
    <x v="1"/>
    <x v="2"/>
    <s v="low"/>
    <m/>
    <m/>
    <m/>
    <m/>
  </r>
  <r>
    <x v="61"/>
    <x v="3"/>
    <x v="2"/>
    <x v="1"/>
    <x v="0"/>
    <n v="23764"/>
    <x v="1"/>
    <n v="1014"/>
    <x v="61"/>
    <x v="2"/>
    <x v="0"/>
    <x v="2"/>
    <s v="High"/>
    <m/>
    <m/>
    <m/>
    <m/>
  </r>
  <r>
    <x v="62"/>
    <x v="8"/>
    <x v="7"/>
    <x v="1"/>
    <x v="1"/>
    <n v="6658"/>
    <x v="1"/>
    <n v="1277"/>
    <x v="62"/>
    <x v="3"/>
    <x v="0"/>
    <x v="2"/>
    <s v="low"/>
    <m/>
    <m/>
    <m/>
    <m/>
  </r>
  <r>
    <x v="63"/>
    <x v="6"/>
    <x v="5"/>
    <x v="0"/>
    <x v="0"/>
    <n v="21131"/>
    <x v="2"/>
    <n v="3672"/>
    <x v="63"/>
    <x v="0"/>
    <x v="1"/>
    <x v="2"/>
    <s v="High"/>
    <m/>
    <m/>
    <m/>
    <m/>
  </r>
  <r>
    <x v="64"/>
    <x v="8"/>
    <x v="7"/>
    <x v="0"/>
    <x v="1"/>
    <n v="23874"/>
    <x v="0"/>
    <n v="3452"/>
    <x v="64"/>
    <x v="0"/>
    <x v="1"/>
    <x v="2"/>
    <s v="High"/>
    <m/>
    <m/>
    <m/>
    <m/>
  </r>
  <r>
    <x v="65"/>
    <x v="3"/>
    <x v="2"/>
    <x v="0"/>
    <x v="2"/>
    <n v="6891"/>
    <x v="2"/>
    <n v="4115"/>
    <x v="65"/>
    <x v="0"/>
    <x v="1"/>
    <x v="2"/>
    <s v="low"/>
    <m/>
    <m/>
    <m/>
    <m/>
  </r>
  <r>
    <x v="66"/>
    <x v="9"/>
    <x v="8"/>
    <x v="0"/>
    <x v="2"/>
    <n v="9786"/>
    <x v="0"/>
    <n v="4004"/>
    <x v="66"/>
    <x v="1"/>
    <x v="1"/>
    <x v="2"/>
    <s v="low"/>
    <m/>
    <m/>
    <m/>
    <m/>
  </r>
  <r>
    <x v="67"/>
    <x v="7"/>
    <x v="6"/>
    <x v="0"/>
    <x v="0"/>
    <n v="22454"/>
    <x v="0"/>
    <n v="3456"/>
    <x v="67"/>
    <x v="2"/>
    <x v="1"/>
    <x v="2"/>
    <s v="High"/>
    <m/>
    <m/>
    <m/>
    <m/>
  </r>
  <r>
    <x v="68"/>
    <x v="9"/>
    <x v="8"/>
    <x v="0"/>
    <x v="1"/>
    <n v="16519"/>
    <x v="2"/>
    <n v="2952"/>
    <x v="68"/>
    <x v="2"/>
    <x v="0"/>
    <x v="2"/>
    <s v="High"/>
    <m/>
    <m/>
    <m/>
    <m/>
  </r>
  <r>
    <x v="69"/>
    <x v="8"/>
    <x v="7"/>
    <x v="1"/>
    <x v="1"/>
    <n v="16558"/>
    <x v="1"/>
    <n v="3542"/>
    <x v="69"/>
    <x v="1"/>
    <x v="0"/>
    <x v="2"/>
    <s v="High"/>
    <m/>
    <m/>
    <m/>
    <m/>
  </r>
  <r>
    <x v="70"/>
    <x v="5"/>
    <x v="4"/>
    <x v="0"/>
    <x v="1"/>
    <n v="14822"/>
    <x v="2"/>
    <n v="1165"/>
    <x v="70"/>
    <x v="2"/>
    <x v="0"/>
    <x v="2"/>
    <s v="High"/>
    <m/>
    <m/>
    <m/>
    <m/>
  </r>
  <r>
    <x v="71"/>
    <x v="9"/>
    <x v="8"/>
    <x v="1"/>
    <x v="0"/>
    <n v="5897"/>
    <x v="1"/>
    <n v="3494"/>
    <x v="71"/>
    <x v="2"/>
    <x v="0"/>
    <x v="2"/>
    <s v="low"/>
    <m/>
    <m/>
    <m/>
    <m/>
  </r>
  <r>
    <x v="72"/>
    <x v="3"/>
    <x v="2"/>
    <x v="1"/>
    <x v="2"/>
    <n v="18497"/>
    <x v="1"/>
    <n v="1004"/>
    <x v="72"/>
    <x v="0"/>
    <x v="0"/>
    <x v="2"/>
    <s v="High"/>
    <m/>
    <m/>
    <m/>
    <m/>
  </r>
  <r>
    <x v="73"/>
    <x v="6"/>
    <x v="5"/>
    <x v="1"/>
    <x v="2"/>
    <n v="13108"/>
    <x v="0"/>
    <n v="4508"/>
    <x v="73"/>
    <x v="2"/>
    <x v="1"/>
    <x v="2"/>
    <s v="High"/>
    <m/>
    <m/>
    <m/>
    <m/>
  </r>
  <r>
    <x v="74"/>
    <x v="2"/>
    <x v="1"/>
    <x v="1"/>
    <x v="1"/>
    <n v="22959"/>
    <x v="2"/>
    <n v="4785"/>
    <x v="74"/>
    <x v="3"/>
    <x v="0"/>
    <x v="2"/>
    <s v="High"/>
    <m/>
    <m/>
    <m/>
    <m/>
  </r>
  <r>
    <x v="75"/>
    <x v="9"/>
    <x v="8"/>
    <x v="0"/>
    <x v="1"/>
    <n v="23314"/>
    <x v="0"/>
    <n v="1524"/>
    <x v="75"/>
    <x v="2"/>
    <x v="1"/>
    <x v="2"/>
    <s v="High"/>
    <m/>
    <m/>
    <m/>
    <m/>
  </r>
  <r>
    <x v="76"/>
    <x v="2"/>
    <x v="1"/>
    <x v="0"/>
    <x v="1"/>
    <n v="24633"/>
    <x v="2"/>
    <n v="2091"/>
    <x v="76"/>
    <x v="0"/>
    <x v="1"/>
    <x v="2"/>
    <s v="High"/>
    <m/>
    <m/>
    <m/>
    <m/>
  </r>
  <r>
    <x v="77"/>
    <x v="1"/>
    <x v="0"/>
    <x v="0"/>
    <x v="0"/>
    <n v="5739"/>
    <x v="2"/>
    <n v="3654"/>
    <x v="77"/>
    <x v="0"/>
    <x v="0"/>
    <x v="2"/>
    <s v="low"/>
    <m/>
    <m/>
    <m/>
    <m/>
  </r>
  <r>
    <x v="78"/>
    <x v="9"/>
    <x v="8"/>
    <x v="0"/>
    <x v="1"/>
    <n v="22131"/>
    <x v="0"/>
    <n v="2503"/>
    <x v="78"/>
    <x v="1"/>
    <x v="1"/>
    <x v="2"/>
    <s v="High"/>
    <m/>
    <m/>
    <m/>
    <m/>
  </r>
  <r>
    <x v="79"/>
    <x v="1"/>
    <x v="0"/>
    <x v="0"/>
    <x v="2"/>
    <n v="22408"/>
    <x v="2"/>
    <n v="2996"/>
    <x v="79"/>
    <x v="2"/>
    <x v="0"/>
    <x v="2"/>
    <s v="High"/>
    <m/>
    <m/>
    <m/>
    <m/>
  </r>
  <r>
    <x v="80"/>
    <x v="3"/>
    <x v="2"/>
    <x v="1"/>
    <x v="2"/>
    <n v="4535"/>
    <x v="2"/>
    <n v="4693"/>
    <x v="80"/>
    <x v="2"/>
    <x v="1"/>
    <x v="2"/>
    <s v="low"/>
    <m/>
    <m/>
    <m/>
    <m/>
  </r>
  <r>
    <x v="81"/>
    <x v="3"/>
    <x v="2"/>
    <x v="1"/>
    <x v="1"/>
    <n v="20831"/>
    <x v="2"/>
    <n v="1957"/>
    <x v="81"/>
    <x v="1"/>
    <x v="0"/>
    <x v="2"/>
    <s v="High"/>
    <m/>
    <m/>
    <m/>
    <m/>
  </r>
  <r>
    <x v="82"/>
    <x v="8"/>
    <x v="7"/>
    <x v="0"/>
    <x v="1"/>
    <n v="18052"/>
    <x v="0"/>
    <n v="2584"/>
    <x v="82"/>
    <x v="0"/>
    <x v="0"/>
    <x v="2"/>
    <s v="High"/>
    <m/>
    <m/>
    <m/>
    <m/>
  </r>
  <r>
    <x v="83"/>
    <x v="2"/>
    <x v="1"/>
    <x v="1"/>
    <x v="0"/>
    <n v="15763"/>
    <x v="0"/>
    <n v="2961"/>
    <x v="83"/>
    <x v="3"/>
    <x v="0"/>
    <x v="2"/>
    <s v="High"/>
    <m/>
    <m/>
    <m/>
    <m/>
  </r>
  <r>
    <x v="84"/>
    <x v="9"/>
    <x v="8"/>
    <x v="1"/>
    <x v="2"/>
    <n v="8977"/>
    <x v="0"/>
    <n v="1548"/>
    <x v="84"/>
    <x v="3"/>
    <x v="1"/>
    <x v="2"/>
    <s v="low"/>
    <m/>
    <m/>
    <m/>
    <m/>
  </r>
  <r>
    <x v="85"/>
    <x v="7"/>
    <x v="6"/>
    <x v="1"/>
    <x v="0"/>
    <n v="14257"/>
    <x v="1"/>
    <n v="2754"/>
    <x v="85"/>
    <x v="2"/>
    <x v="0"/>
    <x v="2"/>
    <s v="High"/>
    <m/>
    <m/>
    <m/>
    <m/>
  </r>
  <r>
    <x v="86"/>
    <x v="1"/>
    <x v="0"/>
    <x v="0"/>
    <x v="2"/>
    <n v="14267"/>
    <x v="0"/>
    <n v="2185"/>
    <x v="86"/>
    <x v="2"/>
    <x v="1"/>
    <x v="2"/>
    <s v="High"/>
    <m/>
    <m/>
    <m/>
    <m/>
  </r>
  <r>
    <x v="87"/>
    <x v="3"/>
    <x v="2"/>
    <x v="1"/>
    <x v="0"/>
    <n v="13371"/>
    <x v="0"/>
    <n v="4635"/>
    <x v="87"/>
    <x v="1"/>
    <x v="0"/>
    <x v="2"/>
    <s v="High"/>
    <m/>
    <m/>
    <m/>
    <m/>
  </r>
  <r>
    <x v="88"/>
    <x v="1"/>
    <x v="0"/>
    <x v="0"/>
    <x v="0"/>
    <n v="5511"/>
    <x v="0"/>
    <n v="1203"/>
    <x v="88"/>
    <x v="2"/>
    <x v="0"/>
    <x v="2"/>
    <s v="low"/>
    <m/>
    <m/>
    <m/>
    <m/>
  </r>
  <r>
    <x v="89"/>
    <x v="0"/>
    <x v="0"/>
    <x v="1"/>
    <x v="1"/>
    <n v="14109"/>
    <x v="2"/>
    <n v="4247"/>
    <x v="89"/>
    <x v="2"/>
    <x v="1"/>
    <x v="3"/>
    <s v="High"/>
    <m/>
    <m/>
    <m/>
    <m/>
  </r>
  <r>
    <x v="90"/>
    <x v="1"/>
    <x v="0"/>
    <x v="0"/>
    <x v="0"/>
    <n v="10140"/>
    <x v="1"/>
    <n v="4731"/>
    <x v="90"/>
    <x v="1"/>
    <x v="1"/>
    <x v="3"/>
    <s v="High"/>
    <m/>
    <m/>
    <m/>
    <m/>
  </r>
  <r>
    <x v="91"/>
    <x v="7"/>
    <x v="6"/>
    <x v="0"/>
    <x v="1"/>
    <n v="5552"/>
    <x v="2"/>
    <n v="4822"/>
    <x v="91"/>
    <x v="2"/>
    <x v="1"/>
    <x v="3"/>
    <s v="low"/>
    <m/>
    <m/>
    <m/>
    <m/>
  </r>
  <r>
    <x v="92"/>
    <x v="1"/>
    <x v="0"/>
    <x v="0"/>
    <x v="1"/>
    <n v="6346"/>
    <x v="0"/>
    <n v="1287"/>
    <x v="92"/>
    <x v="3"/>
    <x v="0"/>
    <x v="3"/>
    <s v="low"/>
    <m/>
    <m/>
    <m/>
    <m/>
  </r>
  <r>
    <x v="93"/>
    <x v="6"/>
    <x v="5"/>
    <x v="0"/>
    <x v="2"/>
    <n v="4589"/>
    <x v="2"/>
    <n v="1004"/>
    <x v="93"/>
    <x v="1"/>
    <x v="0"/>
    <x v="3"/>
    <s v="low"/>
    <m/>
    <m/>
    <m/>
    <m/>
  </r>
  <r>
    <x v="94"/>
    <x v="9"/>
    <x v="8"/>
    <x v="1"/>
    <x v="1"/>
    <n v="15349"/>
    <x v="2"/>
    <n v="1853"/>
    <x v="94"/>
    <x v="2"/>
    <x v="1"/>
    <x v="3"/>
    <s v="High"/>
    <m/>
    <m/>
    <m/>
    <m/>
  </r>
  <r>
    <x v="95"/>
    <x v="4"/>
    <x v="3"/>
    <x v="0"/>
    <x v="1"/>
    <n v="22538"/>
    <x v="0"/>
    <n v="693"/>
    <x v="95"/>
    <x v="3"/>
    <x v="1"/>
    <x v="3"/>
    <s v="High"/>
    <m/>
    <m/>
    <m/>
    <m/>
  </r>
  <r>
    <x v="96"/>
    <x v="7"/>
    <x v="6"/>
    <x v="1"/>
    <x v="1"/>
    <n v="24978"/>
    <x v="0"/>
    <n v="2787"/>
    <x v="96"/>
    <x v="0"/>
    <x v="0"/>
    <x v="3"/>
    <s v="High"/>
    <m/>
    <m/>
    <m/>
    <m/>
  </r>
  <r>
    <x v="97"/>
    <x v="7"/>
    <x v="6"/>
    <x v="0"/>
    <x v="2"/>
    <n v="24088"/>
    <x v="0"/>
    <n v="4728"/>
    <x v="97"/>
    <x v="1"/>
    <x v="0"/>
    <x v="3"/>
    <s v="High"/>
    <m/>
    <m/>
    <m/>
    <m/>
  </r>
  <r>
    <x v="98"/>
    <x v="5"/>
    <x v="4"/>
    <x v="1"/>
    <x v="0"/>
    <n v="16851"/>
    <x v="2"/>
    <n v="3354"/>
    <x v="98"/>
    <x v="2"/>
    <x v="0"/>
    <x v="3"/>
    <s v="High"/>
    <m/>
    <m/>
    <m/>
    <m/>
  </r>
  <r>
    <x v="99"/>
    <x v="7"/>
    <x v="6"/>
    <x v="0"/>
    <x v="0"/>
    <n v="10506"/>
    <x v="2"/>
    <n v="753"/>
    <x v="99"/>
    <x v="2"/>
    <x v="1"/>
    <x v="3"/>
    <s v="High"/>
    <m/>
    <m/>
    <m/>
    <m/>
  </r>
  <r>
    <x v="100"/>
    <x v="1"/>
    <x v="0"/>
    <x v="0"/>
    <x v="0"/>
    <n v="5539"/>
    <x v="0"/>
    <n v="1308"/>
    <x v="100"/>
    <x v="3"/>
    <x v="1"/>
    <x v="3"/>
    <s v="low"/>
    <m/>
    <m/>
    <m/>
    <m/>
  </r>
  <r>
    <x v="101"/>
    <x v="4"/>
    <x v="3"/>
    <x v="0"/>
    <x v="2"/>
    <n v="16649"/>
    <x v="2"/>
    <n v="688"/>
    <x v="101"/>
    <x v="1"/>
    <x v="1"/>
    <x v="3"/>
    <s v="High"/>
    <m/>
    <m/>
    <m/>
    <m/>
  </r>
  <r>
    <x v="102"/>
    <x v="1"/>
    <x v="0"/>
    <x v="0"/>
    <x v="2"/>
    <n v="13339"/>
    <x v="1"/>
    <n v="3186"/>
    <x v="102"/>
    <x v="3"/>
    <x v="0"/>
    <x v="3"/>
    <s v="High"/>
    <m/>
    <m/>
    <m/>
    <m/>
  </r>
  <r>
    <x v="103"/>
    <x v="9"/>
    <x v="8"/>
    <x v="0"/>
    <x v="1"/>
    <n v="10152"/>
    <x v="1"/>
    <n v="2392"/>
    <x v="103"/>
    <x v="2"/>
    <x v="0"/>
    <x v="3"/>
    <s v="High"/>
    <m/>
    <m/>
    <m/>
    <m/>
  </r>
  <r>
    <x v="104"/>
    <x v="2"/>
    <x v="1"/>
    <x v="1"/>
    <x v="1"/>
    <n v="22091"/>
    <x v="0"/>
    <n v="4966"/>
    <x v="104"/>
    <x v="3"/>
    <x v="0"/>
    <x v="3"/>
    <s v="High"/>
    <m/>
    <m/>
    <m/>
    <m/>
  </r>
  <r>
    <x v="105"/>
    <x v="6"/>
    <x v="5"/>
    <x v="0"/>
    <x v="0"/>
    <n v="22602"/>
    <x v="0"/>
    <n v="4212"/>
    <x v="105"/>
    <x v="3"/>
    <x v="1"/>
    <x v="3"/>
    <s v="High"/>
    <m/>
    <m/>
    <m/>
    <m/>
  </r>
  <r>
    <x v="106"/>
    <x v="1"/>
    <x v="0"/>
    <x v="1"/>
    <x v="1"/>
    <n v="13819"/>
    <x v="2"/>
    <n v="4009"/>
    <x v="106"/>
    <x v="3"/>
    <x v="0"/>
    <x v="3"/>
    <s v="High"/>
    <m/>
    <m/>
    <m/>
    <m/>
  </r>
  <r>
    <x v="107"/>
    <x v="8"/>
    <x v="7"/>
    <x v="0"/>
    <x v="0"/>
    <n v="8284"/>
    <x v="1"/>
    <n v="924"/>
    <x v="107"/>
    <x v="1"/>
    <x v="0"/>
    <x v="3"/>
    <s v="low"/>
    <m/>
    <m/>
    <m/>
    <m/>
  </r>
  <r>
    <x v="108"/>
    <x v="2"/>
    <x v="1"/>
    <x v="1"/>
    <x v="1"/>
    <n v="11283"/>
    <x v="1"/>
    <n v="2897"/>
    <x v="108"/>
    <x v="0"/>
    <x v="0"/>
    <x v="3"/>
    <s v="High"/>
    <m/>
    <m/>
    <m/>
    <m/>
  </r>
  <r>
    <x v="109"/>
    <x v="2"/>
    <x v="1"/>
    <x v="1"/>
    <x v="1"/>
    <n v="23449"/>
    <x v="0"/>
    <n v="1594"/>
    <x v="109"/>
    <x v="1"/>
    <x v="0"/>
    <x v="3"/>
    <s v="High"/>
    <m/>
    <m/>
    <m/>
    <m/>
  </r>
  <r>
    <x v="110"/>
    <x v="5"/>
    <x v="4"/>
    <x v="0"/>
    <x v="0"/>
    <n v="6697"/>
    <x v="2"/>
    <n v="4650"/>
    <x v="110"/>
    <x v="2"/>
    <x v="0"/>
    <x v="3"/>
    <s v="low"/>
    <m/>
    <m/>
    <m/>
    <m/>
  </r>
  <r>
    <x v="111"/>
    <x v="9"/>
    <x v="8"/>
    <x v="1"/>
    <x v="1"/>
    <n v="4303"/>
    <x v="0"/>
    <n v="3040"/>
    <x v="111"/>
    <x v="0"/>
    <x v="0"/>
    <x v="3"/>
    <s v="low"/>
    <m/>
    <m/>
    <m/>
    <m/>
  </r>
  <r>
    <x v="112"/>
    <x v="3"/>
    <x v="2"/>
    <x v="0"/>
    <x v="2"/>
    <n v="18630"/>
    <x v="2"/>
    <n v="1118"/>
    <x v="112"/>
    <x v="3"/>
    <x v="1"/>
    <x v="3"/>
    <s v="High"/>
    <m/>
    <m/>
    <m/>
    <m/>
  </r>
  <r>
    <x v="113"/>
    <x v="0"/>
    <x v="0"/>
    <x v="0"/>
    <x v="1"/>
    <n v="9037"/>
    <x v="0"/>
    <n v="632"/>
    <x v="113"/>
    <x v="3"/>
    <x v="0"/>
    <x v="3"/>
    <s v="low"/>
    <m/>
    <m/>
    <m/>
    <m/>
  </r>
  <r>
    <x v="114"/>
    <x v="9"/>
    <x v="8"/>
    <x v="0"/>
    <x v="1"/>
    <n v="5079"/>
    <x v="1"/>
    <n v="1641"/>
    <x v="114"/>
    <x v="2"/>
    <x v="0"/>
    <x v="3"/>
    <s v="low"/>
    <m/>
    <m/>
    <m/>
    <m/>
  </r>
  <r>
    <x v="115"/>
    <x v="8"/>
    <x v="7"/>
    <x v="0"/>
    <x v="1"/>
    <n v="3315"/>
    <x v="1"/>
    <n v="2761"/>
    <x v="115"/>
    <x v="3"/>
    <x v="1"/>
    <x v="3"/>
    <s v="low"/>
    <m/>
    <m/>
    <m/>
    <m/>
  </r>
  <r>
    <x v="116"/>
    <x v="3"/>
    <x v="2"/>
    <x v="0"/>
    <x v="1"/>
    <n v="12063"/>
    <x v="1"/>
    <n v="2390"/>
    <x v="116"/>
    <x v="1"/>
    <x v="1"/>
    <x v="3"/>
    <s v="High"/>
    <m/>
    <m/>
    <m/>
    <m/>
  </r>
  <r>
    <x v="117"/>
    <x v="5"/>
    <x v="4"/>
    <x v="1"/>
    <x v="0"/>
    <n v="24670"/>
    <x v="1"/>
    <n v="3924"/>
    <x v="117"/>
    <x v="0"/>
    <x v="0"/>
    <x v="3"/>
    <s v="High"/>
    <m/>
    <m/>
    <m/>
    <m/>
  </r>
  <r>
    <x v="118"/>
    <x v="5"/>
    <x v="4"/>
    <x v="0"/>
    <x v="2"/>
    <n v="16957"/>
    <x v="1"/>
    <n v="3791"/>
    <x v="118"/>
    <x v="1"/>
    <x v="0"/>
    <x v="3"/>
    <s v="High"/>
    <m/>
    <m/>
    <m/>
    <m/>
  </r>
  <r>
    <x v="119"/>
    <x v="8"/>
    <x v="7"/>
    <x v="1"/>
    <x v="1"/>
    <n v="18439"/>
    <x v="0"/>
    <n v="3574"/>
    <x v="119"/>
    <x v="2"/>
    <x v="1"/>
    <x v="4"/>
    <s v="High"/>
    <m/>
    <m/>
    <m/>
    <m/>
  </r>
  <r>
    <x v="120"/>
    <x v="8"/>
    <x v="7"/>
    <x v="1"/>
    <x v="1"/>
    <n v="12892"/>
    <x v="1"/>
    <n v="4516"/>
    <x v="120"/>
    <x v="2"/>
    <x v="1"/>
    <x v="4"/>
    <s v="High"/>
    <m/>
    <m/>
    <m/>
    <m/>
  </r>
  <r>
    <x v="121"/>
    <x v="3"/>
    <x v="2"/>
    <x v="0"/>
    <x v="0"/>
    <n v="24369"/>
    <x v="1"/>
    <n v="782"/>
    <x v="121"/>
    <x v="1"/>
    <x v="1"/>
    <x v="4"/>
    <s v="High"/>
    <m/>
    <m/>
    <m/>
    <m/>
  </r>
  <r>
    <x v="122"/>
    <x v="3"/>
    <x v="2"/>
    <x v="0"/>
    <x v="2"/>
    <n v="20554"/>
    <x v="1"/>
    <n v="4393"/>
    <x v="122"/>
    <x v="1"/>
    <x v="0"/>
    <x v="4"/>
    <s v="High"/>
    <m/>
    <m/>
    <m/>
    <m/>
  </r>
  <r>
    <x v="123"/>
    <x v="3"/>
    <x v="2"/>
    <x v="0"/>
    <x v="1"/>
    <n v="9084"/>
    <x v="0"/>
    <n v="685"/>
    <x v="123"/>
    <x v="0"/>
    <x v="0"/>
    <x v="4"/>
    <s v="low"/>
    <m/>
    <m/>
    <m/>
    <m/>
  </r>
  <r>
    <x v="124"/>
    <x v="7"/>
    <x v="6"/>
    <x v="0"/>
    <x v="0"/>
    <n v="16157"/>
    <x v="2"/>
    <n v="1767"/>
    <x v="124"/>
    <x v="1"/>
    <x v="1"/>
    <x v="4"/>
    <s v="High"/>
    <m/>
    <m/>
    <m/>
    <m/>
  </r>
  <r>
    <x v="125"/>
    <x v="6"/>
    <x v="5"/>
    <x v="1"/>
    <x v="2"/>
    <n v="22674"/>
    <x v="1"/>
    <n v="2828"/>
    <x v="125"/>
    <x v="3"/>
    <x v="1"/>
    <x v="4"/>
    <s v="High"/>
    <m/>
    <m/>
    <m/>
    <m/>
  </r>
  <r>
    <x v="126"/>
    <x v="4"/>
    <x v="3"/>
    <x v="0"/>
    <x v="2"/>
    <n v="12491"/>
    <x v="2"/>
    <n v="3778"/>
    <x v="126"/>
    <x v="2"/>
    <x v="1"/>
    <x v="4"/>
    <s v="High"/>
    <m/>
    <m/>
    <m/>
    <m/>
  </r>
  <r>
    <x v="127"/>
    <x v="1"/>
    <x v="0"/>
    <x v="0"/>
    <x v="0"/>
    <n v="10367"/>
    <x v="2"/>
    <n v="4771"/>
    <x v="127"/>
    <x v="1"/>
    <x v="0"/>
    <x v="4"/>
    <s v="High"/>
    <m/>
    <m/>
    <m/>
    <m/>
  </r>
  <r>
    <x v="128"/>
    <x v="7"/>
    <x v="6"/>
    <x v="0"/>
    <x v="0"/>
    <n v="7388"/>
    <x v="0"/>
    <n v="4493"/>
    <x v="128"/>
    <x v="1"/>
    <x v="1"/>
    <x v="4"/>
    <s v="low"/>
    <m/>
    <m/>
    <m/>
    <m/>
  </r>
  <r>
    <x v="129"/>
    <x v="6"/>
    <x v="5"/>
    <x v="0"/>
    <x v="1"/>
    <n v="4263"/>
    <x v="0"/>
    <n v="4899"/>
    <x v="129"/>
    <x v="0"/>
    <x v="0"/>
    <x v="4"/>
    <s v="low"/>
    <m/>
    <m/>
    <m/>
    <m/>
  </r>
  <r>
    <x v="130"/>
    <x v="5"/>
    <x v="4"/>
    <x v="0"/>
    <x v="1"/>
    <n v="22218"/>
    <x v="2"/>
    <n v="1867"/>
    <x v="130"/>
    <x v="1"/>
    <x v="1"/>
    <x v="4"/>
    <s v="High"/>
    <m/>
    <m/>
    <m/>
    <m/>
  </r>
  <r>
    <x v="131"/>
    <x v="9"/>
    <x v="8"/>
    <x v="0"/>
    <x v="0"/>
    <n v="19371"/>
    <x v="0"/>
    <n v="2213"/>
    <x v="131"/>
    <x v="2"/>
    <x v="0"/>
    <x v="4"/>
    <s v="High"/>
    <m/>
    <m/>
    <m/>
    <m/>
  </r>
  <r>
    <x v="132"/>
    <x v="7"/>
    <x v="6"/>
    <x v="0"/>
    <x v="0"/>
    <n v="14988"/>
    <x v="0"/>
    <n v="4678"/>
    <x v="132"/>
    <x v="1"/>
    <x v="1"/>
    <x v="4"/>
    <s v="High"/>
    <m/>
    <m/>
    <m/>
    <m/>
  </r>
  <r>
    <x v="133"/>
    <x v="6"/>
    <x v="5"/>
    <x v="1"/>
    <x v="2"/>
    <n v="24670"/>
    <x v="2"/>
    <n v="2518"/>
    <x v="133"/>
    <x v="1"/>
    <x v="0"/>
    <x v="4"/>
    <s v="High"/>
    <m/>
    <m/>
    <m/>
    <m/>
  </r>
  <r>
    <x v="134"/>
    <x v="0"/>
    <x v="0"/>
    <x v="1"/>
    <x v="2"/>
    <n v="4708"/>
    <x v="2"/>
    <n v="2590"/>
    <x v="134"/>
    <x v="3"/>
    <x v="1"/>
    <x v="4"/>
    <s v="low"/>
    <m/>
    <m/>
    <m/>
    <m/>
  </r>
  <r>
    <x v="135"/>
    <x v="6"/>
    <x v="5"/>
    <x v="1"/>
    <x v="1"/>
    <n v="4758"/>
    <x v="0"/>
    <n v="4047"/>
    <x v="135"/>
    <x v="0"/>
    <x v="1"/>
    <x v="4"/>
    <s v="low"/>
    <m/>
    <m/>
    <m/>
    <m/>
  </r>
  <r>
    <x v="136"/>
    <x v="8"/>
    <x v="7"/>
    <x v="0"/>
    <x v="2"/>
    <n v="7656"/>
    <x v="2"/>
    <n v="928"/>
    <x v="136"/>
    <x v="0"/>
    <x v="0"/>
    <x v="4"/>
    <s v="low"/>
    <m/>
    <m/>
    <m/>
    <m/>
  </r>
  <r>
    <x v="137"/>
    <x v="3"/>
    <x v="2"/>
    <x v="0"/>
    <x v="0"/>
    <n v="20764"/>
    <x v="2"/>
    <n v="3220"/>
    <x v="137"/>
    <x v="1"/>
    <x v="1"/>
    <x v="4"/>
    <s v="High"/>
    <m/>
    <m/>
    <m/>
    <m/>
  </r>
  <r>
    <x v="138"/>
    <x v="1"/>
    <x v="0"/>
    <x v="0"/>
    <x v="2"/>
    <n v="7140"/>
    <x v="1"/>
    <n v="4229"/>
    <x v="138"/>
    <x v="3"/>
    <x v="0"/>
    <x v="4"/>
    <s v="low"/>
    <m/>
    <m/>
    <m/>
    <m/>
  </r>
  <r>
    <x v="139"/>
    <x v="2"/>
    <x v="1"/>
    <x v="1"/>
    <x v="2"/>
    <n v="9867"/>
    <x v="2"/>
    <n v="521"/>
    <x v="139"/>
    <x v="3"/>
    <x v="1"/>
    <x v="4"/>
    <s v="low"/>
    <m/>
    <m/>
    <m/>
    <m/>
  </r>
  <r>
    <x v="140"/>
    <x v="4"/>
    <x v="3"/>
    <x v="1"/>
    <x v="1"/>
    <n v="4397"/>
    <x v="1"/>
    <n v="2846"/>
    <x v="140"/>
    <x v="1"/>
    <x v="0"/>
    <x v="4"/>
    <s v="low"/>
    <m/>
    <m/>
    <m/>
    <m/>
  </r>
  <r>
    <x v="141"/>
    <x v="2"/>
    <x v="1"/>
    <x v="0"/>
    <x v="2"/>
    <n v="15862"/>
    <x v="0"/>
    <n v="2177"/>
    <x v="141"/>
    <x v="0"/>
    <x v="1"/>
    <x v="4"/>
    <s v="High"/>
    <m/>
    <m/>
    <m/>
    <m/>
  </r>
  <r>
    <x v="142"/>
    <x v="5"/>
    <x v="4"/>
    <x v="0"/>
    <x v="2"/>
    <n v="16540"/>
    <x v="0"/>
    <n v="1749"/>
    <x v="142"/>
    <x v="1"/>
    <x v="1"/>
    <x v="4"/>
    <s v="High"/>
    <m/>
    <m/>
    <m/>
    <m/>
  </r>
  <r>
    <x v="143"/>
    <x v="2"/>
    <x v="1"/>
    <x v="1"/>
    <x v="0"/>
    <n v="10848"/>
    <x v="1"/>
    <n v="680"/>
    <x v="143"/>
    <x v="1"/>
    <x v="1"/>
    <x v="4"/>
    <s v="High"/>
    <m/>
    <m/>
    <m/>
    <m/>
  </r>
  <r>
    <x v="144"/>
    <x v="5"/>
    <x v="4"/>
    <x v="1"/>
    <x v="0"/>
    <n v="15739"/>
    <x v="1"/>
    <n v="896"/>
    <x v="144"/>
    <x v="0"/>
    <x v="1"/>
    <x v="4"/>
    <s v="High"/>
    <m/>
    <m/>
    <m/>
    <m/>
  </r>
  <r>
    <x v="145"/>
    <x v="7"/>
    <x v="6"/>
    <x v="0"/>
    <x v="2"/>
    <n v="7548"/>
    <x v="2"/>
    <n v="3203"/>
    <x v="145"/>
    <x v="1"/>
    <x v="1"/>
    <x v="4"/>
    <s v="low"/>
    <m/>
    <m/>
    <m/>
    <m/>
  </r>
  <r>
    <x v="146"/>
    <x v="7"/>
    <x v="6"/>
    <x v="1"/>
    <x v="1"/>
    <n v="4448"/>
    <x v="2"/>
    <n v="1763"/>
    <x v="146"/>
    <x v="0"/>
    <x v="0"/>
    <x v="4"/>
    <s v="low"/>
    <m/>
    <m/>
    <m/>
    <m/>
  </r>
  <r>
    <x v="147"/>
    <x v="8"/>
    <x v="7"/>
    <x v="0"/>
    <x v="1"/>
    <n v="13934"/>
    <x v="1"/>
    <n v="890"/>
    <x v="147"/>
    <x v="2"/>
    <x v="1"/>
    <x v="4"/>
    <s v="High"/>
    <m/>
    <m/>
    <m/>
    <m/>
  </r>
  <r>
    <x v="148"/>
    <x v="7"/>
    <x v="6"/>
    <x v="0"/>
    <x v="1"/>
    <n v="6374"/>
    <x v="0"/>
    <n v="3115"/>
    <x v="148"/>
    <x v="0"/>
    <x v="0"/>
    <x v="4"/>
    <s v="low"/>
    <m/>
    <m/>
    <m/>
    <m/>
  </r>
  <r>
    <x v="149"/>
    <x v="8"/>
    <x v="7"/>
    <x v="1"/>
    <x v="0"/>
    <n v="7143"/>
    <x v="1"/>
    <n v="2338"/>
    <x v="149"/>
    <x v="3"/>
    <x v="0"/>
    <x v="4"/>
    <s v="low"/>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284FF2-340D-4C7A-BEC7-CDBDC27B4D9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2:P47" firstHeaderRow="1" firstDataRow="1" firstDataCol="1"/>
  <pivotFields count="17">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dataField="1" showAll="0"/>
    <pivotField showAll="0"/>
    <pivotField showAll="0">
      <items count="3">
        <item x="1"/>
        <item x="0"/>
        <item t="default"/>
      </items>
    </pivotField>
    <pivotField showAll="0">
      <items count="4">
        <item x="0"/>
        <item x="2"/>
        <item x="1"/>
        <item t="default"/>
      </items>
    </pivotField>
    <pivotField showAll="0"/>
    <pivotField showAll="0"/>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5">
    <i>
      <x v="1"/>
    </i>
    <i>
      <x/>
    </i>
    <i>
      <x v="2"/>
    </i>
    <i>
      <x v="3"/>
    </i>
    <i t="grand">
      <x/>
    </i>
  </rowItems>
  <colItems count="1">
    <i/>
  </colItems>
  <dataFields count="1">
    <dataField name="Count of Customer-Name" fld="1" subtotal="count"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690FA6-54AF-4DF6-A980-F7393A4D814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5:P36" firstHeaderRow="1" firstDataRow="1" firstDataCol="1"/>
  <pivotFields count="17">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11">
        <item x="4"/>
        <item x="1"/>
        <item x="9"/>
        <item x="7"/>
        <item x="3"/>
        <item x="2"/>
        <item x="8"/>
        <item x="5"/>
        <item x="6"/>
        <item x="0"/>
        <item t="default"/>
      </items>
    </pivotField>
    <pivotField showAll="0"/>
    <pivotField showAll="0">
      <items count="3">
        <item x="1"/>
        <item x="0"/>
        <item t="default"/>
      </items>
    </pivotField>
    <pivotField showAll="0">
      <items count="4">
        <item x="0"/>
        <item x="2"/>
        <item x="1"/>
        <item t="default"/>
      </items>
    </pivotField>
    <pivotField dataField="1" showAll="0"/>
    <pivotField showAll="0">
      <items count="4">
        <item x="0"/>
        <item x="2"/>
        <item x="1"/>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Balance" fld="5" subtotal="average"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F7DEAB-C661-4DE5-9CBA-5E0A13A0487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2:B26" firstHeaderRow="1" firstDataRow="1" firstDataCol="1"/>
  <pivotFields count="17">
    <pivotField showAll="0"/>
    <pivotField showAll="0"/>
    <pivotField showAll="0"/>
    <pivotField showAll="0">
      <items count="3">
        <item x="1"/>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5">
        <item x="2"/>
        <item x="1"/>
        <item x="0"/>
        <item x="3"/>
        <item t="default"/>
      </items>
    </pivotField>
    <pivotField showAll="0"/>
    <pivotField showAll="0">
      <items count="6">
        <item x="0"/>
        <item x="1"/>
        <item x="2"/>
        <item x="3"/>
        <item x="4"/>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transation-amount" fld="7" subtotal="average" baseField="0" baseItem="0"/>
  </dataFields>
  <formats count="1">
    <format dxfId="13">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4" count="1" selected="0">
            <x v="0"/>
          </reference>
        </references>
      </pivotArea>
    </chartFormat>
    <chartFormat chart="9" format="7">
      <pivotArea type="data" outline="0" fieldPosition="0">
        <references count="2">
          <reference field="4294967294" count="1" selected="0">
            <x v="0"/>
          </reference>
          <reference field="4" count="1" selected="0">
            <x v="1"/>
          </reference>
        </references>
      </pivotArea>
    </chartFormat>
    <chartFormat chart="9" format="8">
      <pivotArea type="data" outline="0" fieldPosition="0">
        <references count="2">
          <reference field="4294967294" count="1" selected="0">
            <x v="0"/>
          </reference>
          <reference field="4" count="1" selected="0">
            <x v="2"/>
          </reference>
        </references>
      </pivotArea>
    </chartFormat>
    <chartFormat chart="7" format="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47E611-FFAD-486E-9E1D-C0373CC87AA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4:J54" firstHeaderRow="1" firstDataRow="1" firstDataCol="1"/>
  <pivotFields count="17">
    <pivotField showAll="0"/>
    <pivotField showAll="0">
      <items count="11">
        <item x="4"/>
        <item x="1"/>
        <item x="9"/>
        <item x="7"/>
        <item x="3"/>
        <item x="2"/>
        <item x="8"/>
        <item x="5"/>
        <item x="6"/>
        <item x="0"/>
        <item t="default"/>
      </items>
    </pivotField>
    <pivotField axis="axisRow" showAll="0">
      <items count="10">
        <item x="3"/>
        <item x="8"/>
        <item x="4"/>
        <item x="6"/>
        <item x="5"/>
        <item x="2"/>
        <item x="0"/>
        <item x="7"/>
        <item x="1"/>
        <item t="default"/>
      </items>
    </pivotField>
    <pivotField showAll="0">
      <items count="3">
        <item x="1"/>
        <item x="0"/>
        <item t="default"/>
      </items>
    </pivotField>
    <pivotField showAll="0">
      <items count="4">
        <item x="0"/>
        <item x="2"/>
        <item x="1"/>
        <item t="default"/>
      </items>
    </pivotField>
    <pivotField showAll="0"/>
    <pivotField showAll="0"/>
    <pivotField dataField="1" showAll="0"/>
    <pivotField showAll="0"/>
    <pivotField showAll="0">
      <items count="5">
        <item x="2"/>
        <item x="1"/>
        <item x="0"/>
        <item x="3"/>
        <item t="default"/>
      </items>
    </pivotField>
    <pivotField showAll="0"/>
    <pivotField showAll="0"/>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transation-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0854D3-5A0D-4103-8D7A-B90516595C43}"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I33:K39" firstHeaderRow="1" firstDataRow="2" firstDataCol="1"/>
  <pivotFields count="17">
    <pivotField showAll="0"/>
    <pivotField showAll="0">
      <items count="11">
        <item x="4"/>
        <item x="1"/>
        <item x="9"/>
        <item x="7"/>
        <item x="3"/>
        <item x="2"/>
        <item x="8"/>
        <item x="5"/>
        <item x="6"/>
        <item x="0"/>
        <item t="default"/>
      </items>
    </pivotField>
    <pivotField showAll="0"/>
    <pivotField showAll="0">
      <items count="3">
        <item x="1"/>
        <item x="0"/>
        <item t="default"/>
      </items>
    </pivotField>
    <pivotField showAll="0">
      <items count="4">
        <item x="0"/>
        <item x="2"/>
        <item x="1"/>
        <item t="default"/>
      </items>
    </pivotField>
    <pivotField showAll="0"/>
    <pivotField showAll="0"/>
    <pivotField showAll="0"/>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5">
        <item x="2"/>
        <item x="1"/>
        <item x="0"/>
        <item x="3"/>
        <item t="default"/>
      </items>
    </pivotField>
    <pivotField axis="axisCol" dataField="1" showAll="0">
      <items count="3">
        <item h="1" x="0"/>
        <item x="1"/>
        <item t="default"/>
      </items>
    </pivotField>
    <pivotField showAll="0"/>
    <pivotField showAll="0"/>
    <pivotField showAll="0"/>
    <pivotField showAll="0"/>
    <pivotField showAll="0"/>
    <pivotField showAll="0"/>
  </pivotFields>
  <rowFields count="1">
    <field x="9"/>
  </rowFields>
  <rowItems count="5">
    <i>
      <x/>
    </i>
    <i>
      <x v="1"/>
    </i>
    <i>
      <x v="2"/>
    </i>
    <i>
      <x v="3"/>
    </i>
    <i t="grand">
      <x/>
    </i>
  </rowItems>
  <colFields count="1">
    <field x="10"/>
  </colFields>
  <colItems count="2">
    <i>
      <x v="1"/>
    </i>
    <i t="grand">
      <x/>
    </i>
  </colItems>
  <dataFields count="1">
    <dataField name="Count of Loan status" fld="10"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8379D5-5EE0-4A41-BF4D-136E5CA8FD2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9" firstHeaderRow="1" firstDataRow="1" firstDataCol="1"/>
  <pivotFields count="17">
    <pivotField showAll="0"/>
    <pivotField showAll="0"/>
    <pivotField showAll="0"/>
    <pivotField showAll="0">
      <items count="3">
        <item x="1"/>
        <item x="0"/>
        <item t="default"/>
      </items>
    </pivotField>
    <pivotField showAll="0">
      <items count="4">
        <item x="0"/>
        <item x="2"/>
        <item x="1"/>
        <item t="default"/>
      </items>
    </pivotField>
    <pivotField showAll="0"/>
    <pivotField showAll="0"/>
    <pivotField dataField="1" showAll="0"/>
    <pivotField showAll="0"/>
    <pivotField showAll="0">
      <items count="5">
        <item x="2"/>
        <item x="1"/>
        <item x="0"/>
        <item x="3"/>
        <item t="default"/>
      </items>
    </pivotField>
    <pivotField showAll="0"/>
    <pivotField axis="axisRow" showAll="0">
      <items count="6">
        <item x="0"/>
        <item x="1"/>
        <item x="2"/>
        <item x="3"/>
        <item x="4"/>
        <item t="default"/>
      </items>
    </pivotField>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Sum of transation-amount" fld="7" baseField="0" baseItem="0"/>
  </dataFields>
  <formats count="1">
    <format dxfId="1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52FD9F-6C2A-4B6E-A511-374478270B0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B40" firstHeaderRow="1" firstDataRow="1" firstDataCol="1"/>
  <pivotFields count="17">
    <pivotField showAll="0"/>
    <pivotField axis="axisRow" showAll="0">
      <items count="11">
        <item x="4"/>
        <item x="1"/>
        <item x="9"/>
        <item x="7"/>
        <item x="3"/>
        <item x="2"/>
        <item x="8"/>
        <item x="5"/>
        <item x="6"/>
        <item x="0"/>
        <item t="default"/>
      </items>
    </pivotField>
    <pivotField showAll="0"/>
    <pivotField showAll="0">
      <items count="3">
        <item x="1"/>
        <item x="0"/>
        <item t="default"/>
      </items>
    </pivotField>
    <pivotField showAll="0">
      <items count="4">
        <item x="0"/>
        <item x="2"/>
        <item x="1"/>
        <item t="default"/>
      </items>
    </pivotField>
    <pivotField showAll="0"/>
    <pivotField showAll="0"/>
    <pivotField showAll="0"/>
    <pivotField showAll="0"/>
    <pivotField showAll="0">
      <items count="5">
        <item x="2"/>
        <item x="1"/>
        <item x="0"/>
        <item x="3"/>
        <item t="default"/>
      </items>
    </pivotField>
    <pivotField dataField="1"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Loan status" fld="10" subtotal="count" baseField="0" baseItem="0" numFmtId="10">
      <extLst>
        <ext xmlns:x14="http://schemas.microsoft.com/office/spreadsheetml/2009/9/main" uri="{E15A36E0-9728-4e99-A89B-3F7291B0FE68}">
          <x14:dataField pivotShowAs="percentOfParentRow"/>
        </ext>
      </extLst>
    </dataField>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47B5B0-9780-45CF-92DD-C4461ECF543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7">
    <pivotField showAll="0"/>
    <pivotField showAll="0"/>
    <pivotField showAll="0"/>
    <pivotField showAll="0">
      <items count="3">
        <item x="1"/>
        <item x="0"/>
        <item t="default"/>
      </items>
    </pivotField>
    <pivotField showAll="0">
      <items count="4">
        <item x="0"/>
        <item x="2"/>
        <item x="1"/>
        <item t="default"/>
      </items>
    </pivotField>
    <pivotField showAll="0"/>
    <pivotField showAll="0"/>
    <pivotField dataField="1"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5">
    <i>
      <x v="1"/>
    </i>
    <i>
      <x/>
    </i>
    <i>
      <x v="2"/>
    </i>
    <i>
      <x v="3"/>
    </i>
    <i t="grand">
      <x/>
    </i>
  </rowItems>
  <colItems count="1">
    <i/>
  </colItems>
  <dataFields count="1">
    <dataField name="Sum of transation-amount" fld="7" baseField="0" baseItem="0" numFmtId="164"/>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9ABA27-A0FC-4216-ADBD-0A93DEEA0A1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K19" firstHeaderRow="0" firstDataRow="1" firstDataCol="1"/>
  <pivotFields count="17">
    <pivotField showAll="0"/>
    <pivotField showAll="0"/>
    <pivotField showAll="0"/>
    <pivotField showAll="0">
      <items count="3">
        <item x="1"/>
        <item x="0"/>
        <item t="default"/>
      </items>
    </pivotField>
    <pivotField showAll="0">
      <items count="4">
        <item x="0"/>
        <item x="2"/>
        <item x="1"/>
        <item t="default"/>
      </items>
    </pivotField>
    <pivotField showAll="0"/>
    <pivotField axis="axisRow" showAll="0">
      <items count="4">
        <item x="0"/>
        <item x="2"/>
        <item x="1"/>
        <item t="default"/>
      </items>
    </pivotField>
    <pivotField dataField="1" showAll="0"/>
    <pivotField showAll="0"/>
    <pivotField axis="axisRow" dataField="1" showAll="0">
      <items count="5">
        <item x="2"/>
        <item x="1"/>
        <item x="0"/>
        <item x="3"/>
        <item t="default"/>
      </items>
    </pivotField>
    <pivotField showAll="0"/>
    <pivotField showAll="0"/>
    <pivotField showAll="0"/>
    <pivotField showAll="0"/>
    <pivotField showAll="0"/>
    <pivotField showAll="0"/>
    <pivotField showAll="0"/>
  </pivotFields>
  <rowFields count="2">
    <field x="6"/>
    <field x="9"/>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name="Sum of transation-amount" fld="7" baseField="0" baseItem="0"/>
    <dataField name="Count of State" fld="9" subtotal="count" baseField="0" baseItem="0"/>
  </dataFields>
  <formats count="1">
    <format dxfId="1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2F622B-6C07-49FD-9E07-C178CEBAEF7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6:O17" firstHeaderRow="1" firstDataRow="1" firstDataCol="0"/>
  <pivotFields count="17">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dataField="1" showAll="0"/>
    <pivotField showAll="0"/>
    <pivotField showAll="0">
      <items count="3">
        <item x="1"/>
        <item x="0"/>
        <item t="default"/>
      </items>
    </pivotField>
    <pivotField showAll="0">
      <items count="4">
        <item x="0"/>
        <item x="2"/>
        <item x="1"/>
        <item t="default"/>
      </items>
    </pivotField>
    <pivotField showAll="0"/>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s>
  <rowItems count="1">
    <i/>
  </rowItems>
  <colItems count="1">
    <i/>
  </colItems>
  <dataFields count="1">
    <dataField name="Count of Customer-Name" fld="1" subtotal="count"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152555-EF35-4466-83DB-3EE7018B456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B54" firstHeaderRow="1" firstDataRow="1" firstDataCol="1"/>
  <pivotFields count="17">
    <pivotField showAll="0"/>
    <pivotField showAll="0"/>
    <pivotField axis="axisRow" showAll="0" sortType="descending">
      <items count="10">
        <item x="3"/>
        <item x="8"/>
        <item x="4"/>
        <item x="6"/>
        <item x="5"/>
        <item x="2"/>
        <item x="0"/>
        <item x="7"/>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4">
        <item x="0"/>
        <item x="2"/>
        <item x="1"/>
        <item t="default"/>
      </items>
    </pivotField>
    <pivotField dataField="1" showAll="0"/>
    <pivotField showAll="0"/>
    <pivotField showAll="0"/>
    <pivotField showAll="0"/>
    <pivotField showAll="0">
      <items count="5">
        <item x="2"/>
        <item x="1"/>
        <item x="0"/>
        <item x="3"/>
        <item t="default"/>
      </items>
    </pivotField>
    <pivotField showAll="0"/>
    <pivotField showAll="0">
      <items count="6">
        <item x="0"/>
        <item x="1"/>
        <item x="2"/>
        <item x="3"/>
        <item x="4"/>
        <item t="default"/>
      </items>
    </pivotField>
    <pivotField showAll="0"/>
    <pivotField showAll="0"/>
    <pivotField showAll="0"/>
    <pivotField showAll="0"/>
    <pivotField showAll="0"/>
  </pivotFields>
  <rowFields count="1">
    <field x="2"/>
  </rowFields>
  <rowItems count="10">
    <i>
      <x v="6"/>
    </i>
    <i>
      <x v="5"/>
    </i>
    <i>
      <x v="1"/>
    </i>
    <i>
      <x v="2"/>
    </i>
    <i>
      <x v="8"/>
    </i>
    <i>
      <x v="3"/>
    </i>
    <i>
      <x v="7"/>
    </i>
    <i>
      <x v="4"/>
    </i>
    <i>
      <x/>
    </i>
    <i t="grand">
      <x/>
    </i>
  </rowItems>
  <colItems count="1">
    <i/>
  </colItems>
  <dataFields count="1">
    <dataField name="Sum of Balance" fld="5" baseField="0" baseItem="0"/>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1D725B-01A4-4ACF-8AFE-68629E4E3D01}"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0:O21" firstHeaderRow="1" firstDataRow="1" firstDataCol="0"/>
  <pivotFields count="17">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items count="3">
        <item x="1"/>
        <item x="0"/>
        <item t="default"/>
      </items>
    </pivotField>
    <pivotField showAll="0">
      <items count="4">
        <item x="0"/>
        <item x="2"/>
        <item x="1"/>
        <item t="default"/>
      </items>
    </pivotField>
    <pivotField showAll="0"/>
    <pivotField showAll="0"/>
    <pivotField dataField="1" showAll="0"/>
    <pivotField showAll="0"/>
    <pivotField showAll="0">
      <items count="5">
        <item x="2"/>
        <item x="1"/>
        <item x="0"/>
        <item x="3"/>
        <item t="default"/>
      </items>
    </pivotField>
    <pivotField showAll="0"/>
    <pivotField showAll="0"/>
    <pivotField showAll="0"/>
    <pivotField showAll="0"/>
    <pivotField showAll="0"/>
    <pivotField showAll="0"/>
    <pivotField showAll="0"/>
  </pivotFields>
  <rowItems count="1">
    <i/>
  </rowItems>
  <colItems count="1">
    <i/>
  </colItems>
  <dataFields count="1">
    <dataField name="Sum of transation-amount" fld="7"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ADB9CF-97B2-485C-AF1B-18D0F2387DA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8:D70" firstHeaderRow="1" firstDataRow="2" firstDataCol="1"/>
  <pivotFields count="17">
    <pivotField showAll="0"/>
    <pivotField axis="axisRow" showAll="0">
      <items count="11">
        <item x="4"/>
        <item x="1"/>
        <item x="9"/>
        <item x="7"/>
        <item x="3"/>
        <item x="2"/>
        <item x="8"/>
        <item x="5"/>
        <item x="6"/>
        <item x="0"/>
        <item t="default"/>
      </items>
    </pivotField>
    <pivotField showAll="0" sortType="descending">
      <items count="10">
        <item x="3"/>
        <item x="8"/>
        <item x="4"/>
        <item x="6"/>
        <item x="5"/>
        <item x="2"/>
        <item x="0"/>
        <item x="7"/>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4">
        <item x="0"/>
        <item x="2"/>
        <item x="1"/>
        <item t="default"/>
      </items>
    </pivotField>
    <pivotField dataField="1" showAll="0"/>
    <pivotField showAll="0"/>
    <pivotField showAll="0"/>
    <pivotField showAll="0"/>
    <pivotField showAll="0">
      <items count="5">
        <item x="2"/>
        <item x="1"/>
        <item x="0"/>
        <item x="3"/>
        <item t="default"/>
      </items>
    </pivotField>
    <pivotField axis="axisCol"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10"/>
  </colFields>
  <colItems count="3">
    <i>
      <x/>
    </i>
    <i>
      <x v="1"/>
    </i>
    <i t="grand">
      <x/>
    </i>
  </colItems>
  <dataFields count="1">
    <dataField name="Sum of Balance" fld="5" baseField="0" baseItem="0"/>
  </dataFields>
  <formats count="1">
    <format dxfId="22">
      <pivotArea outline="0" collapsedLevelsAreSubtotals="1" fieldPosition="0"/>
    </format>
  </format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C85D09-737E-4515-B719-4120382CC27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3:J29" firstHeaderRow="1" firstDataRow="1" firstDataCol="1"/>
  <pivotFields count="17">
    <pivotField showAll="0"/>
    <pivotField axis="axisRow" showAll="0" measureFilter="1">
      <items count="11">
        <item x="4"/>
        <item x="1"/>
        <item x="9"/>
        <item x="7"/>
        <item x="3"/>
        <item x="2"/>
        <item x="8"/>
        <item x="5"/>
        <item x="6"/>
        <item x="0"/>
        <item t="default"/>
      </items>
    </pivotField>
    <pivotField showAll="0"/>
    <pivotField showAll="0">
      <items count="3">
        <item x="1"/>
        <item x="0"/>
        <item t="default"/>
      </items>
    </pivotField>
    <pivotField showAll="0">
      <items count="4">
        <item x="0"/>
        <item x="2"/>
        <item x="1"/>
        <item t="default"/>
      </items>
    </pivotField>
    <pivotField dataField="1" showAll="0"/>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s>
  <rowFields count="1">
    <field x="1"/>
  </rowFields>
  <rowItems count="6">
    <i>
      <x v="1"/>
    </i>
    <i>
      <x v="2"/>
    </i>
    <i>
      <x v="4"/>
    </i>
    <i>
      <x v="5"/>
    </i>
    <i>
      <x v="7"/>
    </i>
    <i t="grand">
      <x/>
    </i>
  </rowItems>
  <colItems count="1">
    <i/>
  </colItems>
  <dataFields count="1">
    <dataField name="Sum of Balance"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AB00E59E-F254-44EA-B845-80637E659505}" sourceName="Account-type">
  <pivotTables>
    <pivotTable tabId="4" name="PivotTable12"/>
    <pivotTable tabId="4" name="PivotTable10"/>
    <pivotTable tabId="4" name="PivotTable11"/>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06254980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24FCAE-098C-45C6-9ACA-C864AACE23C3}" sourceName="Gender">
  <pivotTables>
    <pivotTable tabId="4" name="PivotTable8"/>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9"/>
  </pivotTables>
  <data>
    <tabular pivotCacheId="206254980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F6E3303-0931-44C9-8222-1047F8ED3AFD}" sourceName="State">
  <pivotTables>
    <pivotTable tabId="4" name="PivotTable8"/>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9"/>
  </pivotTables>
  <data>
    <tabular pivotCacheId="206254980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type 1" xr10:uid="{5FBE22AA-C711-4ED8-A866-361E2B8BAC53}" cache="Slicer_Account_type" caption="Account-type" columnCount="3" style="Slicer Style 1" rowHeight="274320"/>
  <slicer name="Gender 1" xr10:uid="{FBCEB1D9-03E1-4205-B7AF-5B354A0DCB9F}" cache="Slicer_Gender" caption="Gender" style="Slicer Style 1" rowHeight="274320"/>
  <slicer name="State 1" xr10:uid="{8B9ADC5A-230F-481E-BB2A-E8C6EEF57644}" cache="Slicer_State" caption="State" style="Slicer Style 1" rowHeight="23269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type" xr10:uid="{EC970280-6302-4943-9199-B7CAD5D28C0F}" cache="Slicer_Account_type" caption="Account-type" columnCount="3" rowHeight="548640"/>
  <slicer name="Gender" xr10:uid="{F37B7DCE-3B73-494E-B810-9756CDD1E27E}" cache="Slicer_Gender" caption="Gender" rowHeight="274320"/>
  <slicer name="State" xr10:uid="{58A79707-3BF9-47CF-8395-D91DD629F483}" cache="Slicer_State" caption="State" rowHeight="23269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3FF295-F553-4088-A3F1-78B65683ABA3}" name="Table1" displayName="Table1" ref="A1:Q151" totalsRowShown="0">
  <autoFilter ref="A1:Q151" xr:uid="{C03FF295-F553-4088-A3F1-78B65683ABA3}"/>
  <tableColumns count="17">
    <tableColumn id="1" xr3:uid="{23C36490-A8B5-4F9D-AC87-2DEFB8C720C5}" name="Customer_id" dataDxfId="10"/>
    <tableColumn id="2" xr3:uid="{F2E74992-A7C6-4D26-9C1A-E9E9590589AE}" name="Customer-Name" dataDxfId="9"/>
    <tableColumn id="3" xr3:uid="{8E5A6E32-B7F1-4EFC-820F-B249F1345A94}" name="Age" dataDxfId="8"/>
    <tableColumn id="4" xr3:uid="{5E7F254E-9A0A-4191-8E44-871DF5135D00}" name="Gender" dataDxfId="7"/>
    <tableColumn id="5" xr3:uid="{1F0D2D67-99D6-4FC2-9CE9-4892D91D770E}" name="Account-type" dataDxfId="6"/>
    <tableColumn id="6" xr3:uid="{D73961F9-D545-484F-93DE-C26DD8AD6336}" name="Balance" dataDxfId="5"/>
    <tableColumn id="7" xr3:uid="{2D175CD2-BCAE-4995-9F0D-46EA7DA4E97B}" name="Transaction-Type" dataDxfId="4"/>
    <tableColumn id="8" xr3:uid="{DAAC62AB-1D38-448A-81C9-77E344D251AB}" name="transation-amount" dataDxfId="3"/>
    <tableColumn id="9" xr3:uid="{7E928FD5-BDC1-441D-BFF2-377094C912C0}" name="Date" dataDxfId="2"/>
    <tableColumn id="10" xr3:uid="{932C67BF-EEAE-4E68-9B5A-2F491A3BB290}" name="State" dataDxfId="1"/>
    <tableColumn id="11" xr3:uid="{285E7A3A-702F-4DD6-8BC9-B3C6224C23B7}" name="Loan status" dataDxfId="0"/>
    <tableColumn id="12" xr3:uid="{F80E510E-AF1B-4A02-BED2-DFE9B9B377C9}" name="mont-date">
      <calculatedColumnFormula>TEXT(I2,"mmm")</calculatedColumnFormula>
    </tableColumn>
    <tableColumn id="13" xr3:uid="{FE38203A-F0B4-43BB-8267-0AD89D6D2E0F}" name="customer-value">
      <calculatedColumnFormula>IF(F2&lt;=10000,"low","High")</calculatedColumnFormula>
    </tableColumn>
    <tableColumn id="14" xr3:uid="{9D1865EB-4D00-466E-944A-33C20FBBB064}" name="Kano"/>
    <tableColumn id="15" xr3:uid="{166AEB21-6F76-466A-8A6E-8B909001CCE6}" name="abuja"/>
    <tableColumn id="16" xr3:uid="{727C9638-8D97-472E-B4AB-28CF898FD0E9}" name="ibadan"/>
    <tableColumn id="17" xr3:uid="{7CE54835-82DE-4697-BD23-1AEE96F1ADF4}" name="Lago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071A-1CF2-4454-9FDF-25D5599BC119}">
  <dimension ref="A1:A67"/>
  <sheetViews>
    <sheetView topLeftCell="A38" workbookViewId="0">
      <selection activeCell="G22" sqref="G22"/>
    </sheetView>
  </sheetViews>
  <sheetFormatPr defaultRowHeight="14.15"/>
  <sheetData>
    <row r="1" spans="1:1" ht="23.55">
      <c r="A1" s="6" t="s">
        <v>339</v>
      </c>
    </row>
    <row r="2" spans="1:1">
      <c r="A2" s="7"/>
    </row>
    <row r="3" spans="1:1">
      <c r="A3" s="7" t="s">
        <v>340</v>
      </c>
    </row>
    <row r="4" spans="1:1">
      <c r="A4" s="7"/>
    </row>
    <row r="5" spans="1:1">
      <c r="A5" s="7" t="s">
        <v>341</v>
      </c>
    </row>
    <row r="6" spans="1:1">
      <c r="A6" s="7"/>
    </row>
    <row r="7" spans="1:1">
      <c r="A7" s="7" t="s">
        <v>342</v>
      </c>
    </row>
    <row r="8" spans="1:1">
      <c r="A8" s="7"/>
    </row>
    <row r="9" spans="1:1">
      <c r="A9" s="7" t="s">
        <v>343</v>
      </c>
    </row>
    <row r="10" spans="1:1">
      <c r="A10" s="7"/>
    </row>
    <row r="11" spans="1:1">
      <c r="A11" s="7" t="s">
        <v>344</v>
      </c>
    </row>
    <row r="15" spans="1:1" ht="23.55">
      <c r="A15" s="6" t="s">
        <v>345</v>
      </c>
    </row>
    <row r="16" spans="1:1">
      <c r="A16" s="7"/>
    </row>
    <row r="17" spans="1:1">
      <c r="A17" s="7" t="s">
        <v>346</v>
      </c>
    </row>
    <row r="18" spans="1:1">
      <c r="A18" s="7"/>
    </row>
    <row r="19" spans="1:1">
      <c r="A19" s="7" t="s">
        <v>347</v>
      </c>
    </row>
    <row r="20" spans="1:1">
      <c r="A20" s="7"/>
    </row>
    <row r="21" spans="1:1">
      <c r="A21" s="7" t="s">
        <v>348</v>
      </c>
    </row>
    <row r="22" spans="1:1">
      <c r="A22" s="7"/>
    </row>
    <row r="23" spans="1:1">
      <c r="A23" s="7" t="s">
        <v>349</v>
      </c>
    </row>
    <row r="24" spans="1:1">
      <c r="A24" s="7"/>
    </row>
    <row r="25" spans="1:1">
      <c r="A25" s="7" t="s">
        <v>350</v>
      </c>
    </row>
    <row r="29" spans="1:1" ht="23.55">
      <c r="A29" s="6" t="s">
        <v>351</v>
      </c>
    </row>
    <row r="30" spans="1:1">
      <c r="A30" s="7"/>
    </row>
    <row r="31" spans="1:1">
      <c r="A31" s="7" t="s">
        <v>352</v>
      </c>
    </row>
    <row r="32" spans="1:1">
      <c r="A32" s="7"/>
    </row>
    <row r="33" spans="1:1">
      <c r="A33" s="7" t="s">
        <v>353</v>
      </c>
    </row>
    <row r="34" spans="1:1">
      <c r="A34" s="7"/>
    </row>
    <row r="35" spans="1:1">
      <c r="A35" s="7" t="s">
        <v>354</v>
      </c>
    </row>
    <row r="36" spans="1:1">
      <c r="A36" s="7"/>
    </row>
    <row r="37" spans="1:1">
      <c r="A37" s="7" t="s">
        <v>355</v>
      </c>
    </row>
    <row r="38" spans="1:1">
      <c r="A38" s="7"/>
    </row>
    <row r="39" spans="1:1">
      <c r="A39" s="7" t="s">
        <v>356</v>
      </c>
    </row>
    <row r="43" spans="1:1" ht="23.55">
      <c r="A43" s="6" t="s">
        <v>357</v>
      </c>
    </row>
    <row r="44" spans="1:1">
      <c r="A44" s="7"/>
    </row>
    <row r="45" spans="1:1">
      <c r="A45" s="7" t="s">
        <v>358</v>
      </c>
    </row>
    <row r="46" spans="1:1">
      <c r="A46" s="7"/>
    </row>
    <row r="47" spans="1:1">
      <c r="A47" s="7" t="s">
        <v>359</v>
      </c>
    </row>
    <row r="48" spans="1:1">
      <c r="A48" s="7"/>
    </row>
    <row r="49" spans="1:1">
      <c r="A49" s="7" t="s">
        <v>360</v>
      </c>
    </row>
    <row r="50" spans="1:1">
      <c r="A50" s="7"/>
    </row>
    <row r="51" spans="1:1">
      <c r="A51" s="7" t="s">
        <v>361</v>
      </c>
    </row>
    <row r="52" spans="1:1">
      <c r="A52" s="7"/>
    </row>
    <row r="53" spans="1:1">
      <c r="A53" s="7" t="s">
        <v>362</v>
      </c>
    </row>
    <row r="57" spans="1:1" ht="23.55">
      <c r="A57" s="6" t="s">
        <v>363</v>
      </c>
    </row>
    <row r="58" spans="1:1">
      <c r="A58" s="7"/>
    </row>
    <row r="59" spans="1:1">
      <c r="A59" s="7" t="s">
        <v>364</v>
      </c>
    </row>
    <row r="60" spans="1:1">
      <c r="A60" s="7"/>
    </row>
    <row r="61" spans="1:1">
      <c r="A61" s="7" t="s">
        <v>365</v>
      </c>
    </row>
    <row r="62" spans="1:1">
      <c r="A62" s="7"/>
    </row>
    <row r="63" spans="1:1">
      <c r="A63" s="7" t="s">
        <v>366</v>
      </c>
    </row>
    <row r="64" spans="1:1">
      <c r="A64" s="7"/>
    </row>
    <row r="65" spans="1:1">
      <c r="A65" s="7" t="s">
        <v>367</v>
      </c>
    </row>
    <row r="66" spans="1:1">
      <c r="A66" s="7"/>
    </row>
    <row r="67" spans="1:1">
      <c r="A67" s="7" t="s">
        <v>368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F2D9-1F4A-47AE-A56D-6449D0A6E248}">
  <dimension ref="A1:AD37"/>
  <sheetViews>
    <sheetView showGridLines="0" tabSelected="1" zoomScale="70" zoomScaleNormal="70" workbookViewId="0">
      <selection activeCell="AE24" sqref="AE24"/>
    </sheetView>
  </sheetViews>
  <sheetFormatPr defaultRowHeight="14.15"/>
  <cols>
    <col min="4" max="4" width="8.875" customWidth="1"/>
    <col min="18" max="19" width="9" customWidth="1"/>
  </cols>
  <sheetData>
    <row r="1" spans="1:30">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4"/>
    </row>
    <row r="2" spans="1:30">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4"/>
    </row>
    <row r="3" spans="1:30">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4"/>
    </row>
    <row r="4" spans="1:30">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4"/>
    </row>
    <row r="5" spans="1:30">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4"/>
    </row>
    <row r="6" spans="1:30">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4"/>
    </row>
    <row r="7" spans="1:30">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4"/>
    </row>
    <row r="8" spans="1:30">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4"/>
    </row>
    <row r="9" spans="1:30">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4"/>
    </row>
    <row r="10" spans="1:3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4"/>
    </row>
    <row r="11" spans="1:30">
      <c r="A11" s="13"/>
      <c r="B11" s="13"/>
      <c r="C11" s="13"/>
      <c r="D11" s="13"/>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row>
    <row r="12" spans="1:30">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4"/>
    </row>
    <row r="13" spans="1:30">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4"/>
    </row>
    <row r="14" spans="1:30">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4"/>
    </row>
    <row r="15" spans="1:30">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4"/>
    </row>
    <row r="16" spans="1:30">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4"/>
    </row>
    <row r="17" spans="1:30">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4"/>
    </row>
    <row r="18" spans="1:30">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4"/>
    </row>
    <row r="19" spans="1:30">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4"/>
    </row>
    <row r="20" spans="1:3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4"/>
    </row>
    <row r="21" spans="1:30">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4"/>
    </row>
    <row r="22" spans="1:30">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4"/>
    </row>
    <row r="23" spans="1:30">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4"/>
    </row>
    <row r="24" spans="1:30">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4"/>
    </row>
    <row r="25" spans="1:30">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4"/>
    </row>
    <row r="26" spans="1:30">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4"/>
    </row>
    <row r="27" spans="1:30">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4"/>
    </row>
    <row r="28" spans="1:30">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4"/>
    </row>
    <row r="29" spans="1:30">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4"/>
    </row>
    <row r="30" spans="1: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4"/>
    </row>
    <row r="31" spans="1:30">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4"/>
    </row>
    <row r="32" spans="1:30">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4"/>
    </row>
    <row r="33" spans="1:30">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4"/>
    </row>
    <row r="34" spans="1:30">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4"/>
    </row>
    <row r="35" spans="1:30">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4"/>
    </row>
    <row r="36" spans="1:30">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4"/>
    </row>
    <row r="37" spans="1:30">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A0627-F8E3-4B8D-96EA-6913E2A383EB}">
  <dimension ref="A2:P70"/>
  <sheetViews>
    <sheetView topLeftCell="E5" workbookViewId="0">
      <selection activeCell="K11" sqref="K11"/>
    </sheetView>
  </sheetViews>
  <sheetFormatPr defaultRowHeight="14.15"/>
  <cols>
    <col min="1" max="1" width="14.375" bestFit="1" customWidth="1"/>
    <col min="2" max="2" width="15.5" bestFit="1" customWidth="1"/>
    <col min="3" max="3" width="10.125" bestFit="1" customWidth="1"/>
    <col min="4" max="4" width="11" bestFit="1" customWidth="1"/>
    <col min="9" max="9" width="12.625" bestFit="1" customWidth="1"/>
    <col min="10" max="10" width="14.125" bestFit="1" customWidth="1"/>
    <col min="11" max="11" width="13.375" bestFit="1" customWidth="1"/>
    <col min="12" max="12" width="11" bestFit="1" customWidth="1"/>
    <col min="13" max="13" width="5.625" bestFit="1" customWidth="1"/>
    <col min="14" max="14" width="11" bestFit="1" customWidth="1"/>
    <col min="15" max="15" width="12.625" bestFit="1" customWidth="1"/>
    <col min="16" max="16" width="22.875" bestFit="1" customWidth="1"/>
  </cols>
  <sheetData>
    <row r="2" spans="1:15">
      <c r="A2" t="s">
        <v>378</v>
      </c>
      <c r="I2" t="s">
        <v>389</v>
      </c>
    </row>
    <row r="3" spans="1:15">
      <c r="A3" s="8" t="s">
        <v>369</v>
      </c>
      <c r="B3" t="s">
        <v>371</v>
      </c>
      <c r="I3" s="8" t="s">
        <v>369</v>
      </c>
      <c r="J3" t="s">
        <v>371</v>
      </c>
      <c r="K3" t="s">
        <v>388</v>
      </c>
    </row>
    <row r="4" spans="1:15">
      <c r="A4" s="9" t="s">
        <v>13</v>
      </c>
      <c r="B4" s="10">
        <v>120894</v>
      </c>
      <c r="I4" s="9" t="s">
        <v>4</v>
      </c>
      <c r="J4" s="10">
        <v>153060</v>
      </c>
      <c r="K4" s="10">
        <v>53</v>
      </c>
    </row>
    <row r="5" spans="1:15">
      <c r="A5" s="9" t="s">
        <v>22</v>
      </c>
      <c r="B5" s="10">
        <v>113617</v>
      </c>
      <c r="I5" s="11" t="s">
        <v>22</v>
      </c>
      <c r="J5" s="10">
        <v>33459</v>
      </c>
      <c r="K5" s="10">
        <v>13</v>
      </c>
    </row>
    <row r="6" spans="1:15">
      <c r="A6" s="9" t="s">
        <v>6</v>
      </c>
      <c r="B6" s="10">
        <v>100223</v>
      </c>
      <c r="I6" s="11" t="s">
        <v>13</v>
      </c>
      <c r="J6" s="10">
        <v>45134</v>
      </c>
      <c r="K6" s="10">
        <v>13</v>
      </c>
    </row>
    <row r="7" spans="1:15">
      <c r="A7" s="9" t="s">
        <v>29</v>
      </c>
      <c r="B7" s="10">
        <v>78950</v>
      </c>
      <c r="I7" s="11" t="s">
        <v>6</v>
      </c>
      <c r="J7" s="10">
        <v>46427</v>
      </c>
      <c r="K7" s="10">
        <v>16</v>
      </c>
    </row>
    <row r="8" spans="1:15">
      <c r="A8" s="9" t="s">
        <v>370</v>
      </c>
      <c r="B8" s="10">
        <v>413684</v>
      </c>
      <c r="I8" s="11" t="s">
        <v>29</v>
      </c>
      <c r="J8" s="10">
        <v>28040</v>
      </c>
      <c r="K8" s="10">
        <v>11</v>
      </c>
    </row>
    <row r="9" spans="1:15">
      <c r="I9" s="9" t="s">
        <v>17</v>
      </c>
      <c r="J9" s="10">
        <v>134819</v>
      </c>
      <c r="K9" s="10">
        <v>50</v>
      </c>
    </row>
    <row r="10" spans="1:15">
      <c r="I10" s="11" t="s">
        <v>22</v>
      </c>
      <c r="J10" s="10">
        <v>40828</v>
      </c>
      <c r="K10" s="10">
        <v>14</v>
      </c>
    </row>
    <row r="11" spans="1:15">
      <c r="I11" s="11" t="s">
        <v>13</v>
      </c>
      <c r="J11" s="10">
        <v>42236</v>
      </c>
      <c r="K11" s="10">
        <v>17</v>
      </c>
    </row>
    <row r="12" spans="1:15">
      <c r="A12" t="s">
        <v>379</v>
      </c>
      <c r="I12" s="11" t="s">
        <v>6</v>
      </c>
      <c r="J12" s="10">
        <v>27154</v>
      </c>
      <c r="K12" s="10">
        <v>10</v>
      </c>
    </row>
    <row r="13" spans="1:15">
      <c r="A13" s="8" t="s">
        <v>369</v>
      </c>
      <c r="B13" t="s">
        <v>371</v>
      </c>
      <c r="I13" s="11" t="s">
        <v>29</v>
      </c>
      <c r="J13" s="10">
        <v>24601</v>
      </c>
      <c r="K13" s="10">
        <v>9</v>
      </c>
    </row>
    <row r="14" spans="1:15">
      <c r="A14" s="9" t="s">
        <v>372</v>
      </c>
      <c r="B14" s="10">
        <v>78300</v>
      </c>
      <c r="I14" s="9" t="s">
        <v>11</v>
      </c>
      <c r="J14" s="10">
        <v>125805</v>
      </c>
      <c r="K14" s="10">
        <v>47</v>
      </c>
    </row>
    <row r="15" spans="1:15">
      <c r="A15" s="9" t="s">
        <v>373</v>
      </c>
      <c r="B15" s="10">
        <v>82154</v>
      </c>
      <c r="I15" s="11" t="s">
        <v>22</v>
      </c>
      <c r="J15" s="10">
        <v>39330</v>
      </c>
      <c r="K15" s="10">
        <v>14</v>
      </c>
    </row>
    <row r="16" spans="1:15">
      <c r="A16" s="9" t="s">
        <v>374</v>
      </c>
      <c r="B16" s="10">
        <v>89894</v>
      </c>
      <c r="I16" s="11" t="s">
        <v>13</v>
      </c>
      <c r="J16" s="10">
        <v>33524</v>
      </c>
      <c r="K16" s="10">
        <v>13</v>
      </c>
      <c r="O16" t="s">
        <v>382</v>
      </c>
    </row>
    <row r="17" spans="1:16">
      <c r="A17" s="9" t="s">
        <v>375</v>
      </c>
      <c r="B17" s="10">
        <v>80382</v>
      </c>
      <c r="I17" s="11" t="s">
        <v>6</v>
      </c>
      <c r="J17" s="10">
        <v>26642</v>
      </c>
      <c r="K17" s="10">
        <v>10</v>
      </c>
      <c r="O17" s="10">
        <v>150</v>
      </c>
    </row>
    <row r="18" spans="1:16">
      <c r="A18" s="9" t="s">
        <v>376</v>
      </c>
      <c r="B18" s="10">
        <v>82954</v>
      </c>
      <c r="I18" s="11" t="s">
        <v>29</v>
      </c>
      <c r="J18" s="10">
        <v>26309</v>
      </c>
      <c r="K18" s="10">
        <v>10</v>
      </c>
    </row>
    <row r="19" spans="1:16">
      <c r="A19" s="9" t="s">
        <v>370</v>
      </c>
      <c r="B19" s="10">
        <v>413684</v>
      </c>
      <c r="I19" s="9" t="s">
        <v>370</v>
      </c>
      <c r="J19" s="10">
        <v>413684</v>
      </c>
      <c r="K19" s="10">
        <v>150</v>
      </c>
    </row>
    <row r="20" spans="1:16">
      <c r="O20" t="s">
        <v>371</v>
      </c>
    </row>
    <row r="21" spans="1:16">
      <c r="A21" s="9" t="s">
        <v>380</v>
      </c>
      <c r="O21" s="10">
        <v>413684</v>
      </c>
    </row>
    <row r="22" spans="1:16">
      <c r="A22" s="8" t="s">
        <v>369</v>
      </c>
      <c r="B22" t="s">
        <v>377</v>
      </c>
      <c r="I22" t="s">
        <v>390</v>
      </c>
    </row>
    <row r="23" spans="1:16">
      <c r="A23" s="9" t="s">
        <v>3</v>
      </c>
      <c r="B23" s="10">
        <v>2795.3061224489797</v>
      </c>
      <c r="I23" s="8" t="s">
        <v>369</v>
      </c>
      <c r="J23" t="s">
        <v>384</v>
      </c>
    </row>
    <row r="24" spans="1:16">
      <c r="A24" s="9" t="s">
        <v>16</v>
      </c>
      <c r="B24" s="10">
        <v>2768.195652173913</v>
      </c>
      <c r="I24" s="9" t="s">
        <v>9</v>
      </c>
      <c r="J24">
        <v>214618</v>
      </c>
    </row>
    <row r="25" spans="1:16">
      <c r="A25" s="9" t="s">
        <v>10</v>
      </c>
      <c r="B25" s="10">
        <v>2715.9454545454546</v>
      </c>
      <c r="I25" s="9" t="s">
        <v>78</v>
      </c>
      <c r="J25">
        <v>250005</v>
      </c>
      <c r="O25" s="8" t="s">
        <v>369</v>
      </c>
      <c r="P25" t="s">
        <v>393</v>
      </c>
    </row>
    <row r="26" spans="1:16">
      <c r="A26" s="9" t="s">
        <v>370</v>
      </c>
      <c r="B26" s="10">
        <v>2757.8933333333334</v>
      </c>
      <c r="I26" s="9" t="s">
        <v>20</v>
      </c>
      <c r="J26">
        <v>276861</v>
      </c>
      <c r="O26" s="9" t="s">
        <v>24</v>
      </c>
      <c r="P26" s="10">
        <v>16275.727272727272</v>
      </c>
    </row>
    <row r="27" spans="1:16">
      <c r="I27" s="9" t="s">
        <v>15</v>
      </c>
      <c r="J27">
        <v>230261</v>
      </c>
      <c r="O27" s="9" t="s">
        <v>9</v>
      </c>
      <c r="P27" s="10">
        <v>11295.684210526315</v>
      </c>
    </row>
    <row r="28" spans="1:16">
      <c r="A28" s="9" t="s">
        <v>381</v>
      </c>
      <c r="I28" s="9" t="s">
        <v>33</v>
      </c>
      <c r="J28">
        <v>242716</v>
      </c>
      <c r="O28" s="9" t="s">
        <v>78</v>
      </c>
      <c r="P28" s="10">
        <v>13158.157894736842</v>
      </c>
    </row>
    <row r="29" spans="1:16">
      <c r="A29" s="8" t="s">
        <v>369</v>
      </c>
      <c r="B29" t="s">
        <v>383</v>
      </c>
      <c r="I29" s="9" t="s">
        <v>370</v>
      </c>
      <c r="J29">
        <v>1214461</v>
      </c>
      <c r="O29" s="9" t="s">
        <v>48</v>
      </c>
      <c r="P29" s="10">
        <v>14025.8</v>
      </c>
    </row>
    <row r="30" spans="1:16">
      <c r="A30" s="9" t="s">
        <v>24</v>
      </c>
      <c r="B30" s="12">
        <v>7.3333333333333334E-2</v>
      </c>
      <c r="O30" s="9" t="s">
        <v>20</v>
      </c>
      <c r="P30" s="10">
        <v>14571.631578947368</v>
      </c>
    </row>
    <row r="31" spans="1:16">
      <c r="A31" s="9" t="s">
        <v>9</v>
      </c>
      <c r="B31" s="12">
        <v>0.12666666666666668</v>
      </c>
      <c r="O31" s="9" t="s">
        <v>15</v>
      </c>
      <c r="P31" s="10">
        <v>16447.214285714286</v>
      </c>
    </row>
    <row r="32" spans="1:16">
      <c r="A32" s="9" t="s">
        <v>78</v>
      </c>
      <c r="B32" s="12">
        <v>0.12666666666666668</v>
      </c>
      <c r="I32" s="9" t="s">
        <v>391</v>
      </c>
      <c r="O32" s="9" t="s">
        <v>57</v>
      </c>
      <c r="P32" s="10">
        <v>14288.714285714286</v>
      </c>
    </row>
    <row r="33" spans="1:16">
      <c r="A33" s="9" t="s">
        <v>48</v>
      </c>
      <c r="B33" s="12">
        <v>0.1</v>
      </c>
      <c r="I33" s="8" t="s">
        <v>383</v>
      </c>
      <c r="J33" s="8" t="s">
        <v>386</v>
      </c>
      <c r="O33" s="9" t="s">
        <v>33</v>
      </c>
      <c r="P33" s="10">
        <v>15169.75</v>
      </c>
    </row>
    <row r="34" spans="1:16">
      <c r="A34" s="9" t="s">
        <v>20</v>
      </c>
      <c r="B34" s="12">
        <v>0.12666666666666668</v>
      </c>
      <c r="I34" s="8" t="s">
        <v>369</v>
      </c>
      <c r="J34" t="s">
        <v>26</v>
      </c>
      <c r="K34" t="s">
        <v>370</v>
      </c>
      <c r="O34" s="9" t="s">
        <v>45</v>
      </c>
      <c r="P34" s="10">
        <v>14833.615384615385</v>
      </c>
    </row>
    <row r="35" spans="1:16">
      <c r="A35" s="9" t="s">
        <v>15</v>
      </c>
      <c r="B35" s="12">
        <v>9.3333333333333338E-2</v>
      </c>
      <c r="I35" s="9" t="s">
        <v>22</v>
      </c>
      <c r="J35">
        <v>18</v>
      </c>
      <c r="K35">
        <v>18</v>
      </c>
      <c r="O35" s="9" t="s">
        <v>1</v>
      </c>
      <c r="P35" s="10">
        <v>8364.1</v>
      </c>
    </row>
    <row r="36" spans="1:16">
      <c r="A36" s="9" t="s">
        <v>57</v>
      </c>
      <c r="B36" s="12">
        <v>9.3333333333333338E-2</v>
      </c>
      <c r="I36" s="9" t="s">
        <v>13</v>
      </c>
      <c r="J36">
        <v>23</v>
      </c>
      <c r="K36">
        <v>23</v>
      </c>
      <c r="O36" s="9" t="s">
        <v>370</v>
      </c>
      <c r="P36" s="10">
        <v>13869.34</v>
      </c>
    </row>
    <row r="37" spans="1:16">
      <c r="A37" s="9" t="s">
        <v>33</v>
      </c>
      <c r="B37" s="12">
        <v>0.10666666666666667</v>
      </c>
      <c r="I37" s="9" t="s">
        <v>6</v>
      </c>
      <c r="J37">
        <v>17</v>
      </c>
      <c r="K37">
        <v>17</v>
      </c>
    </row>
    <row r="38" spans="1:16">
      <c r="A38" s="9" t="s">
        <v>45</v>
      </c>
      <c r="B38" s="12">
        <v>8.666666666666667E-2</v>
      </c>
      <c r="I38" s="9" t="s">
        <v>29</v>
      </c>
      <c r="J38">
        <v>17</v>
      </c>
      <c r="K38">
        <v>17</v>
      </c>
    </row>
    <row r="39" spans="1:16">
      <c r="A39" s="9" t="s">
        <v>1</v>
      </c>
      <c r="B39" s="12">
        <v>6.6666666666666666E-2</v>
      </c>
      <c r="I39" s="9" t="s">
        <v>370</v>
      </c>
      <c r="J39">
        <v>75</v>
      </c>
      <c r="K39">
        <v>75</v>
      </c>
    </row>
    <row r="40" spans="1:16">
      <c r="A40" s="9" t="s">
        <v>370</v>
      </c>
      <c r="B40" s="12">
        <v>1</v>
      </c>
    </row>
    <row r="42" spans="1:16">
      <c r="I42" s="9" t="s">
        <v>392</v>
      </c>
      <c r="O42" s="8" t="s">
        <v>369</v>
      </c>
      <c r="P42" t="s">
        <v>382</v>
      </c>
    </row>
    <row r="43" spans="1:16">
      <c r="A43" s="9" t="s">
        <v>385</v>
      </c>
      <c r="O43" s="9" t="s">
        <v>13</v>
      </c>
      <c r="P43" s="10">
        <v>43</v>
      </c>
    </row>
    <row r="44" spans="1:16">
      <c r="A44" s="8" t="s">
        <v>369</v>
      </c>
      <c r="B44" t="s">
        <v>384</v>
      </c>
      <c r="I44" s="8" t="s">
        <v>369</v>
      </c>
      <c r="J44" t="s">
        <v>371</v>
      </c>
      <c r="O44" s="9" t="s">
        <v>22</v>
      </c>
      <c r="P44" s="10">
        <v>41</v>
      </c>
    </row>
    <row r="45" spans="1:16">
      <c r="A45" s="9">
        <v>51</v>
      </c>
      <c r="B45" s="10">
        <v>298259</v>
      </c>
      <c r="I45" s="9">
        <v>23</v>
      </c>
      <c r="J45">
        <v>29761</v>
      </c>
      <c r="O45" s="9" t="s">
        <v>6</v>
      </c>
      <c r="P45" s="10">
        <v>36</v>
      </c>
    </row>
    <row r="46" spans="1:16">
      <c r="A46" s="9">
        <v>48</v>
      </c>
      <c r="B46" s="10">
        <v>276861</v>
      </c>
      <c r="I46" s="9">
        <v>24</v>
      </c>
      <c r="J46">
        <v>47796</v>
      </c>
      <c r="O46" s="9" t="s">
        <v>29</v>
      </c>
      <c r="P46" s="10">
        <v>30</v>
      </c>
    </row>
    <row r="47" spans="1:16">
      <c r="A47" s="9">
        <v>24</v>
      </c>
      <c r="B47" s="10">
        <v>250005</v>
      </c>
      <c r="I47" s="9">
        <v>25</v>
      </c>
      <c r="J47">
        <v>45553</v>
      </c>
      <c r="O47" s="9" t="s">
        <v>370</v>
      </c>
      <c r="P47" s="10">
        <v>150</v>
      </c>
    </row>
    <row r="48" spans="1:16">
      <c r="A48" s="9">
        <v>25</v>
      </c>
      <c r="B48" s="10">
        <v>242716</v>
      </c>
      <c r="I48" s="9">
        <v>28</v>
      </c>
      <c r="J48">
        <v>50021</v>
      </c>
    </row>
    <row r="49" spans="1:10">
      <c r="A49" s="9">
        <v>55</v>
      </c>
      <c r="B49" s="10">
        <v>230261</v>
      </c>
      <c r="I49" s="9">
        <v>32</v>
      </c>
      <c r="J49">
        <v>41304</v>
      </c>
    </row>
    <row r="50" spans="1:10">
      <c r="A50" s="9">
        <v>28</v>
      </c>
      <c r="B50" s="10">
        <v>210387</v>
      </c>
      <c r="I50" s="9">
        <v>48</v>
      </c>
      <c r="J50">
        <v>44540</v>
      </c>
    </row>
    <row r="51" spans="1:10">
      <c r="A51" s="9">
        <v>54</v>
      </c>
      <c r="B51" s="10">
        <v>200042</v>
      </c>
      <c r="I51" s="9">
        <v>51</v>
      </c>
      <c r="J51">
        <v>84963</v>
      </c>
    </row>
    <row r="52" spans="1:10">
      <c r="A52" s="9">
        <v>32</v>
      </c>
      <c r="B52" s="10">
        <v>192837</v>
      </c>
      <c r="I52" s="9">
        <v>54</v>
      </c>
      <c r="J52">
        <v>29929</v>
      </c>
    </row>
    <row r="53" spans="1:10">
      <c r="A53" s="9">
        <v>23</v>
      </c>
      <c r="B53" s="10">
        <v>179033</v>
      </c>
      <c r="I53" s="9">
        <v>55</v>
      </c>
      <c r="J53">
        <v>39817</v>
      </c>
    </row>
    <row r="54" spans="1:10">
      <c r="A54" s="9" t="s">
        <v>370</v>
      </c>
      <c r="B54" s="10">
        <v>2080401</v>
      </c>
      <c r="I54" s="9" t="s">
        <v>370</v>
      </c>
      <c r="J54">
        <v>413684</v>
      </c>
    </row>
    <row r="57" spans="1:10">
      <c r="A57" t="s">
        <v>387</v>
      </c>
    </row>
    <row r="58" spans="1:10">
      <c r="A58" s="8" t="s">
        <v>384</v>
      </c>
      <c r="B58" s="8" t="s">
        <v>386</v>
      </c>
    </row>
    <row r="59" spans="1:10">
      <c r="A59" s="8" t="s">
        <v>369</v>
      </c>
      <c r="B59" t="s">
        <v>7</v>
      </c>
      <c r="C59" t="s">
        <v>26</v>
      </c>
      <c r="D59" t="s">
        <v>370</v>
      </c>
    </row>
    <row r="60" spans="1:10">
      <c r="A60" s="9" t="s">
        <v>24</v>
      </c>
      <c r="B60" s="10">
        <v>53097</v>
      </c>
      <c r="C60" s="10">
        <v>125936</v>
      </c>
      <c r="D60" s="10">
        <v>179033</v>
      </c>
    </row>
    <row r="61" spans="1:10">
      <c r="A61" s="9" t="s">
        <v>9</v>
      </c>
      <c r="B61" s="10">
        <v>139800</v>
      </c>
      <c r="C61" s="10">
        <v>74818</v>
      </c>
      <c r="D61" s="10">
        <v>214618</v>
      </c>
    </row>
    <row r="62" spans="1:10">
      <c r="A62" s="9" t="s">
        <v>78</v>
      </c>
      <c r="B62" s="10">
        <v>139750</v>
      </c>
      <c r="C62" s="10">
        <v>110255</v>
      </c>
      <c r="D62" s="10">
        <v>250005</v>
      </c>
    </row>
    <row r="63" spans="1:10">
      <c r="A63" s="9" t="s">
        <v>48</v>
      </c>
      <c r="B63" s="10">
        <v>93703</v>
      </c>
      <c r="C63" s="10">
        <v>116684</v>
      </c>
      <c r="D63" s="10">
        <v>210387</v>
      </c>
    </row>
    <row r="64" spans="1:10">
      <c r="A64" s="9" t="s">
        <v>20</v>
      </c>
      <c r="B64" s="10">
        <v>131850</v>
      </c>
      <c r="C64" s="10">
        <v>145011</v>
      </c>
      <c r="D64" s="10">
        <v>276861</v>
      </c>
    </row>
    <row r="65" spans="1:4">
      <c r="A65" s="9" t="s">
        <v>15</v>
      </c>
      <c r="B65" s="10">
        <v>151543</v>
      </c>
      <c r="C65" s="10">
        <v>78718</v>
      </c>
      <c r="D65" s="10">
        <v>230261</v>
      </c>
    </row>
    <row r="66" spans="1:4">
      <c r="A66" s="9" t="s">
        <v>57</v>
      </c>
      <c r="B66" s="10">
        <v>64351</v>
      </c>
      <c r="C66" s="10">
        <v>135691</v>
      </c>
      <c r="D66" s="10">
        <v>200042</v>
      </c>
    </row>
    <row r="67" spans="1:4">
      <c r="A67" s="9" t="s">
        <v>33</v>
      </c>
      <c r="B67" s="10">
        <v>128729</v>
      </c>
      <c r="C67" s="10">
        <v>113987</v>
      </c>
      <c r="D67" s="10">
        <v>242716</v>
      </c>
    </row>
    <row r="68" spans="1:4">
      <c r="A68" s="9" t="s">
        <v>45</v>
      </c>
      <c r="B68" s="10">
        <v>64890</v>
      </c>
      <c r="C68" s="10">
        <v>127947</v>
      </c>
      <c r="D68" s="10">
        <v>192837</v>
      </c>
    </row>
    <row r="69" spans="1:4">
      <c r="A69" s="9" t="s">
        <v>1</v>
      </c>
      <c r="B69" s="10">
        <v>43724</v>
      </c>
      <c r="C69" s="10">
        <v>39917</v>
      </c>
      <c r="D69" s="10">
        <v>83641</v>
      </c>
    </row>
    <row r="70" spans="1:4">
      <c r="A70" s="9" t="s">
        <v>370</v>
      </c>
      <c r="B70" s="10">
        <v>1011437</v>
      </c>
      <c r="C70" s="10">
        <v>1068964</v>
      </c>
      <c r="D70" s="10">
        <v>2080401</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F3D3-59D2-4A68-B10B-D492E2F65479}">
  <dimension ref="A1:Q151"/>
  <sheetViews>
    <sheetView topLeftCell="A2" workbookViewId="0">
      <selection activeCell="E24" sqref="E24"/>
    </sheetView>
  </sheetViews>
  <sheetFormatPr defaultRowHeight="14.15"/>
  <cols>
    <col min="1" max="1" width="13.25" customWidth="1"/>
    <col min="2" max="2" width="16.125" customWidth="1"/>
    <col min="5" max="5" width="13.625" customWidth="1"/>
    <col min="6" max="6" width="9.5" customWidth="1"/>
    <col min="7" max="7" width="17" customWidth="1"/>
    <col min="8" max="8" width="18" customWidth="1"/>
    <col min="9" max="9" width="10.875" customWidth="1"/>
    <col min="11" max="11" width="12.375" customWidth="1"/>
    <col min="12" max="12" width="11.375" customWidth="1"/>
    <col min="13" max="13" width="15.5" customWidth="1"/>
  </cols>
  <sheetData>
    <row r="1" spans="1:17">
      <c r="A1" t="s">
        <v>324</v>
      </c>
      <c r="B1" t="s">
        <v>325</v>
      </c>
      <c r="C1" t="s">
        <v>326</v>
      </c>
      <c r="D1" t="s">
        <v>327</v>
      </c>
      <c r="E1" t="s">
        <v>328</v>
      </c>
      <c r="F1" t="s">
        <v>329</v>
      </c>
      <c r="G1" t="s">
        <v>330</v>
      </c>
      <c r="H1" t="s">
        <v>331</v>
      </c>
      <c r="I1" t="s">
        <v>332</v>
      </c>
      <c r="J1" t="s">
        <v>333</v>
      </c>
      <c r="K1" t="s">
        <v>334</v>
      </c>
      <c r="L1" t="s">
        <v>335</v>
      </c>
      <c r="M1" t="s">
        <v>336</v>
      </c>
      <c r="N1" t="s">
        <v>6</v>
      </c>
      <c r="O1" t="s">
        <v>337</v>
      </c>
      <c r="P1" t="s">
        <v>338</v>
      </c>
      <c r="Q1" t="s">
        <v>29</v>
      </c>
    </row>
    <row r="2" spans="1:17">
      <c r="A2" s="1" t="s">
        <v>0</v>
      </c>
      <c r="B2" s="2" t="s">
        <v>1</v>
      </c>
      <c r="C2" s="2">
        <v>51</v>
      </c>
      <c r="D2" s="2" t="s">
        <v>2</v>
      </c>
      <c r="E2" s="2" t="s">
        <v>3</v>
      </c>
      <c r="F2" s="2">
        <v>8295</v>
      </c>
      <c r="G2" s="2" t="s">
        <v>4</v>
      </c>
      <c r="H2" s="2">
        <v>1091</v>
      </c>
      <c r="I2" s="3" t="s">
        <v>5</v>
      </c>
      <c r="J2" s="2" t="s">
        <v>6</v>
      </c>
      <c r="K2" s="2" t="s">
        <v>7</v>
      </c>
      <c r="L2" t="str">
        <f>TEXT(I2,"mmm")</f>
        <v>Jan</v>
      </c>
      <c r="M2" t="str">
        <f>IF(F2&lt;=10000,"low","High")</f>
        <v>low</v>
      </c>
      <c r="N2">
        <f>SUMIF(J:J,"Kano",H:H)</f>
        <v>100223</v>
      </c>
      <c r="O2">
        <f>SUMIF(J:J,"Abuja",H:H)</f>
        <v>113617</v>
      </c>
      <c r="P2">
        <f>SUMIF(J:J,"Ibadan",H:H)</f>
        <v>120894</v>
      </c>
      <c r="Q2">
        <f>SUMIF(J:J,"Lagos",H:H)</f>
        <v>78950</v>
      </c>
    </row>
    <row r="3" spans="1:17">
      <c r="A3" s="1" t="s">
        <v>8</v>
      </c>
      <c r="B3" s="2" t="s">
        <v>9</v>
      </c>
      <c r="C3" s="2">
        <v>51</v>
      </c>
      <c r="D3" s="2" t="s">
        <v>2</v>
      </c>
      <c r="E3" s="2" t="s">
        <v>10</v>
      </c>
      <c r="F3" s="2">
        <v>3989</v>
      </c>
      <c r="G3" s="2" t="s">
        <v>11</v>
      </c>
      <c r="H3" s="2">
        <v>1178</v>
      </c>
      <c r="I3" s="2" t="s">
        <v>12</v>
      </c>
      <c r="J3" s="2" t="s">
        <v>13</v>
      </c>
      <c r="K3" s="2" t="s">
        <v>7</v>
      </c>
      <c r="L3" t="str">
        <f t="shared" ref="L3:L66" si="0">TEXT(I3,"mmm")</f>
        <v>Jan</v>
      </c>
      <c r="M3" t="str">
        <f>IF(F3&lt;=10000,"low","High")</f>
        <v>low</v>
      </c>
    </row>
    <row r="4" spans="1:17">
      <c r="A4" s="1" t="s">
        <v>14</v>
      </c>
      <c r="B4" s="2" t="s">
        <v>15</v>
      </c>
      <c r="C4" s="2">
        <v>55</v>
      </c>
      <c r="D4" s="2" t="s">
        <v>2</v>
      </c>
      <c r="E4" s="2" t="s">
        <v>16</v>
      </c>
      <c r="F4" s="2">
        <v>5848</v>
      </c>
      <c r="G4" s="2" t="s">
        <v>17</v>
      </c>
      <c r="H4" s="2">
        <v>2952</v>
      </c>
      <c r="I4" s="2" t="s">
        <v>18</v>
      </c>
      <c r="J4" s="2" t="s">
        <v>13</v>
      </c>
      <c r="K4" s="2" t="s">
        <v>7</v>
      </c>
      <c r="L4" t="str">
        <f t="shared" si="0"/>
        <v>Jan</v>
      </c>
      <c r="M4" t="str">
        <f t="shared" ref="M4:M67" si="1">IF(F4&lt;=10000,"low","High")</f>
        <v>low</v>
      </c>
    </row>
    <row r="5" spans="1:17">
      <c r="A5" s="1" t="s">
        <v>19</v>
      </c>
      <c r="B5" s="2" t="s">
        <v>20</v>
      </c>
      <c r="C5" s="2">
        <v>48</v>
      </c>
      <c r="D5" s="2" t="s">
        <v>2</v>
      </c>
      <c r="E5" s="2" t="s">
        <v>3</v>
      </c>
      <c r="F5" s="2">
        <v>22075</v>
      </c>
      <c r="G5" s="2" t="s">
        <v>11</v>
      </c>
      <c r="H5" s="2">
        <v>1710</v>
      </c>
      <c r="I5" s="2" t="s">
        <v>21</v>
      </c>
      <c r="J5" s="2" t="s">
        <v>22</v>
      </c>
      <c r="K5" s="2" t="s">
        <v>7</v>
      </c>
      <c r="L5" t="str">
        <f t="shared" si="0"/>
        <v>Jan</v>
      </c>
      <c r="M5" t="str">
        <f t="shared" si="1"/>
        <v>High</v>
      </c>
    </row>
    <row r="6" spans="1:17">
      <c r="A6" s="1" t="s">
        <v>23</v>
      </c>
      <c r="B6" s="2" t="s">
        <v>24</v>
      </c>
      <c r="C6" s="2">
        <v>23</v>
      </c>
      <c r="D6" s="2" t="s">
        <v>2</v>
      </c>
      <c r="E6" s="2" t="s">
        <v>3</v>
      </c>
      <c r="F6" s="2">
        <v>6244</v>
      </c>
      <c r="G6" s="2" t="s">
        <v>17</v>
      </c>
      <c r="H6" s="2">
        <v>4722</v>
      </c>
      <c r="I6" s="2" t="s">
        <v>25</v>
      </c>
      <c r="J6" s="2" t="s">
        <v>13</v>
      </c>
      <c r="K6" s="2" t="s">
        <v>26</v>
      </c>
      <c r="L6" t="str">
        <f t="shared" si="0"/>
        <v>Jan</v>
      </c>
      <c r="M6" t="str">
        <f t="shared" si="1"/>
        <v>low</v>
      </c>
    </row>
    <row r="7" spans="1:17">
      <c r="A7" s="1" t="s">
        <v>27</v>
      </c>
      <c r="B7" s="2" t="s">
        <v>1</v>
      </c>
      <c r="C7" s="2">
        <v>51</v>
      </c>
      <c r="D7" s="2" t="s">
        <v>2</v>
      </c>
      <c r="E7" s="2" t="s">
        <v>16</v>
      </c>
      <c r="F7" s="2">
        <v>6657</v>
      </c>
      <c r="G7" s="2" t="s">
        <v>11</v>
      </c>
      <c r="H7" s="2">
        <v>3049</v>
      </c>
      <c r="I7" s="3" t="s">
        <v>28</v>
      </c>
      <c r="J7" s="2" t="s">
        <v>29</v>
      </c>
      <c r="K7" s="2" t="s">
        <v>7</v>
      </c>
      <c r="L7" t="str">
        <f t="shared" si="0"/>
        <v>Jan</v>
      </c>
      <c r="M7" t="str">
        <f t="shared" si="1"/>
        <v>low</v>
      </c>
    </row>
    <row r="8" spans="1:17">
      <c r="A8" s="1" t="s">
        <v>30</v>
      </c>
      <c r="B8" s="2" t="s">
        <v>24</v>
      </c>
      <c r="C8" s="2">
        <v>23</v>
      </c>
      <c r="D8" s="2" t="s">
        <v>2</v>
      </c>
      <c r="E8" s="2" t="s">
        <v>16</v>
      </c>
      <c r="F8" s="2">
        <v>19388</v>
      </c>
      <c r="G8" s="2" t="s">
        <v>17</v>
      </c>
      <c r="H8" s="2">
        <v>2423</v>
      </c>
      <c r="I8" s="2" t="s">
        <v>31</v>
      </c>
      <c r="J8" s="2" t="s">
        <v>22</v>
      </c>
      <c r="K8" s="2" t="s">
        <v>7</v>
      </c>
      <c r="L8" t="str">
        <f t="shared" si="0"/>
        <v>Jan</v>
      </c>
      <c r="M8" t="str">
        <f t="shared" si="1"/>
        <v>High</v>
      </c>
    </row>
    <row r="9" spans="1:17">
      <c r="A9" s="1" t="s">
        <v>32</v>
      </c>
      <c r="B9" s="2" t="s">
        <v>33</v>
      </c>
      <c r="C9" s="2">
        <v>25</v>
      </c>
      <c r="D9" s="2" t="s">
        <v>34</v>
      </c>
      <c r="E9" s="2" t="s">
        <v>10</v>
      </c>
      <c r="F9" s="2">
        <v>11907</v>
      </c>
      <c r="G9" s="2" t="s">
        <v>17</v>
      </c>
      <c r="H9" s="2">
        <v>4332</v>
      </c>
      <c r="I9" s="2" t="s">
        <v>35</v>
      </c>
      <c r="J9" s="2" t="s">
        <v>29</v>
      </c>
      <c r="K9" s="2" t="s">
        <v>26</v>
      </c>
      <c r="L9" t="str">
        <f t="shared" si="0"/>
        <v>Jan</v>
      </c>
      <c r="M9" t="str">
        <f t="shared" si="1"/>
        <v>High</v>
      </c>
    </row>
    <row r="10" spans="1:17">
      <c r="A10" s="1" t="s">
        <v>36</v>
      </c>
      <c r="B10" s="2" t="s">
        <v>20</v>
      </c>
      <c r="C10" s="2">
        <v>48</v>
      </c>
      <c r="D10" s="2" t="s">
        <v>34</v>
      </c>
      <c r="E10" s="2" t="s">
        <v>3</v>
      </c>
      <c r="F10" s="2">
        <v>12628</v>
      </c>
      <c r="G10" s="2" t="s">
        <v>11</v>
      </c>
      <c r="H10" s="2">
        <v>2148</v>
      </c>
      <c r="I10" s="2" t="s">
        <v>37</v>
      </c>
      <c r="J10" s="2" t="s">
        <v>22</v>
      </c>
      <c r="K10" s="2" t="s">
        <v>26</v>
      </c>
      <c r="L10" t="str">
        <f t="shared" si="0"/>
        <v>Jan</v>
      </c>
      <c r="M10" t="str">
        <f t="shared" si="1"/>
        <v>High</v>
      </c>
    </row>
    <row r="11" spans="1:17">
      <c r="A11" s="1" t="s">
        <v>38</v>
      </c>
      <c r="B11" s="2" t="s">
        <v>1</v>
      </c>
      <c r="C11" s="2">
        <v>51</v>
      </c>
      <c r="D11" s="2" t="s">
        <v>2</v>
      </c>
      <c r="E11" s="2" t="s">
        <v>16</v>
      </c>
      <c r="F11" s="2">
        <v>6207</v>
      </c>
      <c r="G11" s="2" t="s">
        <v>17</v>
      </c>
      <c r="H11" s="2">
        <v>1380</v>
      </c>
      <c r="I11" s="3" t="s">
        <v>39</v>
      </c>
      <c r="J11" s="2" t="s">
        <v>29</v>
      </c>
      <c r="K11" s="2" t="s">
        <v>7</v>
      </c>
      <c r="L11" t="str">
        <f t="shared" si="0"/>
        <v>Jan</v>
      </c>
      <c r="M11" t="str">
        <f t="shared" si="1"/>
        <v>low</v>
      </c>
    </row>
    <row r="12" spans="1:17">
      <c r="A12" s="1" t="s">
        <v>40</v>
      </c>
      <c r="B12" s="2" t="s">
        <v>20</v>
      </c>
      <c r="C12" s="2">
        <v>48</v>
      </c>
      <c r="D12" s="2" t="s">
        <v>2</v>
      </c>
      <c r="E12" s="2" t="s">
        <v>3</v>
      </c>
      <c r="F12" s="2">
        <v>8679</v>
      </c>
      <c r="G12" s="2" t="s">
        <v>11</v>
      </c>
      <c r="H12" s="2">
        <v>2343</v>
      </c>
      <c r="I12" s="2" t="s">
        <v>41</v>
      </c>
      <c r="J12" s="2" t="s">
        <v>22</v>
      </c>
      <c r="K12" s="2" t="s">
        <v>26</v>
      </c>
      <c r="L12" t="str">
        <f t="shared" si="0"/>
        <v>Jan</v>
      </c>
      <c r="M12" t="str">
        <f t="shared" si="1"/>
        <v>low</v>
      </c>
    </row>
    <row r="13" spans="1:17">
      <c r="A13" s="1" t="s">
        <v>42</v>
      </c>
      <c r="B13" s="2" t="s">
        <v>33</v>
      </c>
      <c r="C13" s="2">
        <v>25</v>
      </c>
      <c r="D13" s="2" t="s">
        <v>34</v>
      </c>
      <c r="E13" s="2" t="s">
        <v>3</v>
      </c>
      <c r="F13" s="2">
        <v>20111</v>
      </c>
      <c r="G13" s="2" t="s">
        <v>4</v>
      </c>
      <c r="H13" s="2">
        <v>4831</v>
      </c>
      <c r="I13" s="2" t="s">
        <v>43</v>
      </c>
      <c r="J13" s="2" t="s">
        <v>13</v>
      </c>
      <c r="K13" s="2" t="s">
        <v>7</v>
      </c>
      <c r="L13" t="str">
        <f t="shared" si="0"/>
        <v>Jan</v>
      </c>
      <c r="M13" t="str">
        <f t="shared" si="1"/>
        <v>High</v>
      </c>
    </row>
    <row r="14" spans="1:17">
      <c r="A14" s="1" t="s">
        <v>44</v>
      </c>
      <c r="B14" s="2" t="s">
        <v>45</v>
      </c>
      <c r="C14" s="2">
        <v>32</v>
      </c>
      <c r="D14" s="2" t="s">
        <v>2</v>
      </c>
      <c r="E14" s="2" t="s">
        <v>16</v>
      </c>
      <c r="F14" s="2">
        <v>12793</v>
      </c>
      <c r="G14" s="2" t="s">
        <v>4</v>
      </c>
      <c r="H14" s="2">
        <v>3260</v>
      </c>
      <c r="I14" s="2" t="s">
        <v>46</v>
      </c>
      <c r="J14" s="2" t="s">
        <v>13</v>
      </c>
      <c r="K14" s="2" t="s">
        <v>7</v>
      </c>
      <c r="L14" t="str">
        <f t="shared" si="0"/>
        <v>Jan</v>
      </c>
      <c r="M14" t="str">
        <f t="shared" si="1"/>
        <v>High</v>
      </c>
    </row>
    <row r="15" spans="1:17">
      <c r="A15" s="1" t="s">
        <v>47</v>
      </c>
      <c r="B15" s="2" t="s">
        <v>48</v>
      </c>
      <c r="C15" s="2">
        <v>28</v>
      </c>
      <c r="D15" s="2" t="s">
        <v>2</v>
      </c>
      <c r="E15" s="2" t="s">
        <v>10</v>
      </c>
      <c r="F15" s="2">
        <v>19628</v>
      </c>
      <c r="G15" s="2" t="s">
        <v>4</v>
      </c>
      <c r="H15" s="2">
        <v>4810</v>
      </c>
      <c r="I15" s="2" t="s">
        <v>49</v>
      </c>
      <c r="J15" s="2" t="s">
        <v>6</v>
      </c>
      <c r="K15" s="2" t="s">
        <v>26</v>
      </c>
      <c r="L15" t="str">
        <f t="shared" si="0"/>
        <v>Jan</v>
      </c>
      <c r="M15" t="str">
        <f t="shared" si="1"/>
        <v>High</v>
      </c>
    </row>
    <row r="16" spans="1:17">
      <c r="A16" s="1" t="s">
        <v>50</v>
      </c>
      <c r="B16" s="2" t="s">
        <v>33</v>
      </c>
      <c r="C16" s="2">
        <v>25</v>
      </c>
      <c r="D16" s="2" t="s">
        <v>34</v>
      </c>
      <c r="E16" s="2" t="s">
        <v>16</v>
      </c>
      <c r="F16" s="2">
        <v>15298</v>
      </c>
      <c r="G16" s="2" t="s">
        <v>11</v>
      </c>
      <c r="H16" s="2">
        <v>3715</v>
      </c>
      <c r="I16" s="2" t="s">
        <v>51</v>
      </c>
      <c r="J16" s="2" t="s">
        <v>6</v>
      </c>
      <c r="K16" s="2" t="s">
        <v>26</v>
      </c>
      <c r="L16" t="str">
        <f t="shared" si="0"/>
        <v>Jan</v>
      </c>
      <c r="M16" t="str">
        <f t="shared" si="1"/>
        <v>High</v>
      </c>
    </row>
    <row r="17" spans="1:13">
      <c r="A17" s="1" t="s">
        <v>52</v>
      </c>
      <c r="B17" s="2" t="s">
        <v>9</v>
      </c>
      <c r="C17" s="2">
        <v>51</v>
      </c>
      <c r="D17" s="2" t="s">
        <v>34</v>
      </c>
      <c r="E17" s="2" t="s">
        <v>10</v>
      </c>
      <c r="F17" s="2">
        <v>7840</v>
      </c>
      <c r="G17" s="2" t="s">
        <v>4</v>
      </c>
      <c r="H17" s="2">
        <v>4367</v>
      </c>
      <c r="I17" s="2" t="s">
        <v>53</v>
      </c>
      <c r="J17" s="2" t="s">
        <v>6</v>
      </c>
      <c r="K17" s="2" t="s">
        <v>7</v>
      </c>
      <c r="L17" t="str">
        <f t="shared" si="0"/>
        <v>Jan</v>
      </c>
      <c r="M17" t="str">
        <f t="shared" si="1"/>
        <v>low</v>
      </c>
    </row>
    <row r="18" spans="1:13">
      <c r="A18" s="1" t="s">
        <v>54</v>
      </c>
      <c r="B18" s="2" t="s">
        <v>15</v>
      </c>
      <c r="C18" s="2">
        <v>55</v>
      </c>
      <c r="D18" s="2" t="s">
        <v>34</v>
      </c>
      <c r="E18" s="2" t="s">
        <v>10</v>
      </c>
      <c r="F18" s="2">
        <v>23933</v>
      </c>
      <c r="G18" s="2" t="s">
        <v>17</v>
      </c>
      <c r="H18" s="2">
        <v>4430</v>
      </c>
      <c r="I18" s="2" t="s">
        <v>55</v>
      </c>
      <c r="J18" s="2" t="s">
        <v>13</v>
      </c>
      <c r="K18" s="2" t="s">
        <v>7</v>
      </c>
      <c r="L18" t="str">
        <f t="shared" si="0"/>
        <v>Jan</v>
      </c>
      <c r="M18" t="str">
        <f t="shared" si="1"/>
        <v>High</v>
      </c>
    </row>
    <row r="19" spans="1:13">
      <c r="A19" s="1" t="s">
        <v>56</v>
      </c>
      <c r="B19" s="2" t="s">
        <v>57</v>
      </c>
      <c r="C19" s="2">
        <v>54</v>
      </c>
      <c r="D19" s="2" t="s">
        <v>2</v>
      </c>
      <c r="E19" s="2" t="s">
        <v>3</v>
      </c>
      <c r="F19" s="2">
        <v>23585</v>
      </c>
      <c r="G19" s="2" t="s">
        <v>11</v>
      </c>
      <c r="H19" s="2">
        <v>1396</v>
      </c>
      <c r="I19" s="2" t="s">
        <v>58</v>
      </c>
      <c r="J19" s="2" t="s">
        <v>29</v>
      </c>
      <c r="K19" s="2" t="s">
        <v>26</v>
      </c>
      <c r="L19" t="str">
        <f t="shared" si="0"/>
        <v>Jan</v>
      </c>
      <c r="M19" t="str">
        <f t="shared" si="1"/>
        <v>High</v>
      </c>
    </row>
    <row r="20" spans="1:13">
      <c r="A20" s="1" t="s">
        <v>59</v>
      </c>
      <c r="B20" s="2" t="s">
        <v>57</v>
      </c>
      <c r="C20" s="2">
        <v>54</v>
      </c>
      <c r="D20" s="2" t="s">
        <v>2</v>
      </c>
      <c r="E20" s="2" t="s">
        <v>10</v>
      </c>
      <c r="F20" s="2">
        <v>21680</v>
      </c>
      <c r="G20" s="2" t="s">
        <v>17</v>
      </c>
      <c r="H20" s="2">
        <v>1235</v>
      </c>
      <c r="I20" s="2" t="s">
        <v>60</v>
      </c>
      <c r="J20" s="2" t="s">
        <v>22</v>
      </c>
      <c r="K20" s="2" t="s">
        <v>26</v>
      </c>
      <c r="L20" t="str">
        <f t="shared" si="0"/>
        <v>Jan</v>
      </c>
      <c r="M20" t="str">
        <f t="shared" si="1"/>
        <v>High</v>
      </c>
    </row>
    <row r="21" spans="1:13">
      <c r="A21" s="1" t="s">
        <v>61</v>
      </c>
      <c r="B21" s="2" t="s">
        <v>48</v>
      </c>
      <c r="C21" s="2">
        <v>28</v>
      </c>
      <c r="D21" s="2" t="s">
        <v>2</v>
      </c>
      <c r="E21" s="2" t="s">
        <v>16</v>
      </c>
      <c r="F21" s="2">
        <v>19558</v>
      </c>
      <c r="G21" s="2" t="s">
        <v>4</v>
      </c>
      <c r="H21" s="2">
        <v>2539</v>
      </c>
      <c r="I21" s="2" t="s">
        <v>62</v>
      </c>
      <c r="J21" s="2" t="s">
        <v>22</v>
      </c>
      <c r="K21" s="2" t="s">
        <v>7</v>
      </c>
      <c r="L21" t="str">
        <f t="shared" si="0"/>
        <v>Jan</v>
      </c>
      <c r="M21" t="str">
        <f t="shared" si="1"/>
        <v>High</v>
      </c>
    </row>
    <row r="22" spans="1:13">
      <c r="A22" s="1" t="s">
        <v>63</v>
      </c>
      <c r="B22" s="2" t="s">
        <v>9</v>
      </c>
      <c r="C22" s="2">
        <v>51</v>
      </c>
      <c r="D22" s="2" t="s">
        <v>2</v>
      </c>
      <c r="E22" s="2" t="s">
        <v>10</v>
      </c>
      <c r="F22" s="2">
        <v>10473</v>
      </c>
      <c r="G22" s="2" t="s">
        <v>11</v>
      </c>
      <c r="H22" s="2">
        <v>2835</v>
      </c>
      <c r="I22" s="2" t="s">
        <v>64</v>
      </c>
      <c r="J22" s="2" t="s">
        <v>22</v>
      </c>
      <c r="K22" s="2" t="s">
        <v>7</v>
      </c>
      <c r="L22" t="str">
        <f t="shared" si="0"/>
        <v>Jan</v>
      </c>
      <c r="M22" t="str">
        <f t="shared" si="1"/>
        <v>High</v>
      </c>
    </row>
    <row r="23" spans="1:13">
      <c r="A23" s="1" t="s">
        <v>65</v>
      </c>
      <c r="B23" s="2" t="s">
        <v>15</v>
      </c>
      <c r="C23" s="2">
        <v>55</v>
      </c>
      <c r="D23" s="2" t="s">
        <v>2</v>
      </c>
      <c r="E23" s="2" t="s">
        <v>16</v>
      </c>
      <c r="F23" s="2">
        <v>17508</v>
      </c>
      <c r="G23" s="2" t="s">
        <v>4</v>
      </c>
      <c r="H23" s="2">
        <v>1755</v>
      </c>
      <c r="I23" s="2" t="s">
        <v>66</v>
      </c>
      <c r="J23" s="2" t="s">
        <v>13</v>
      </c>
      <c r="K23" s="2" t="s">
        <v>26</v>
      </c>
      <c r="L23" t="str">
        <f t="shared" si="0"/>
        <v>Jan</v>
      </c>
      <c r="M23" t="str">
        <f t="shared" si="1"/>
        <v>High</v>
      </c>
    </row>
    <row r="24" spans="1:13">
      <c r="A24" s="1" t="s">
        <v>67</v>
      </c>
      <c r="B24" s="2" t="s">
        <v>9</v>
      </c>
      <c r="C24" s="2">
        <v>51</v>
      </c>
      <c r="D24" s="2" t="s">
        <v>2</v>
      </c>
      <c r="E24" s="2" t="s">
        <v>10</v>
      </c>
      <c r="F24" s="2">
        <v>11279</v>
      </c>
      <c r="G24" s="2" t="s">
        <v>11</v>
      </c>
      <c r="H24" s="2">
        <v>1251</v>
      </c>
      <c r="I24" s="2" t="s">
        <v>68</v>
      </c>
      <c r="J24" s="2" t="s">
        <v>13</v>
      </c>
      <c r="K24" s="2" t="s">
        <v>7</v>
      </c>
      <c r="L24" t="str">
        <f t="shared" si="0"/>
        <v>Jan</v>
      </c>
      <c r="M24" t="str">
        <f t="shared" si="1"/>
        <v>High</v>
      </c>
    </row>
    <row r="25" spans="1:13">
      <c r="A25" s="1" t="s">
        <v>69</v>
      </c>
      <c r="B25" s="2" t="s">
        <v>45</v>
      </c>
      <c r="C25" s="2">
        <v>32</v>
      </c>
      <c r="D25" s="2" t="s">
        <v>34</v>
      </c>
      <c r="E25" s="2" t="s">
        <v>3</v>
      </c>
      <c r="F25" s="2">
        <v>22649</v>
      </c>
      <c r="G25" s="2" t="s">
        <v>17</v>
      </c>
      <c r="H25" s="2">
        <v>691</v>
      </c>
      <c r="I25" s="2" t="s">
        <v>70</v>
      </c>
      <c r="J25" s="2" t="s">
        <v>13</v>
      </c>
      <c r="K25" s="2" t="s">
        <v>26</v>
      </c>
      <c r="L25" t="str">
        <f t="shared" si="0"/>
        <v>Jan</v>
      </c>
      <c r="M25" t="str">
        <f t="shared" si="1"/>
        <v>High</v>
      </c>
    </row>
    <row r="26" spans="1:13">
      <c r="A26" s="1" t="s">
        <v>71</v>
      </c>
      <c r="B26" s="2" t="s">
        <v>33</v>
      </c>
      <c r="C26" s="2">
        <v>25</v>
      </c>
      <c r="D26" s="2" t="s">
        <v>2</v>
      </c>
      <c r="E26" s="2" t="s">
        <v>16</v>
      </c>
      <c r="F26" s="2">
        <v>3493</v>
      </c>
      <c r="G26" s="2" t="s">
        <v>4</v>
      </c>
      <c r="H26" s="2">
        <v>2206</v>
      </c>
      <c r="I26" s="2" t="s">
        <v>72</v>
      </c>
      <c r="J26" s="2" t="s">
        <v>13</v>
      </c>
      <c r="K26" s="2" t="s">
        <v>26</v>
      </c>
      <c r="L26" t="str">
        <f t="shared" si="0"/>
        <v>Jan</v>
      </c>
      <c r="M26" t="str">
        <f t="shared" si="1"/>
        <v>low</v>
      </c>
    </row>
    <row r="27" spans="1:13">
      <c r="A27" s="1" t="s">
        <v>73</v>
      </c>
      <c r="B27" s="2" t="s">
        <v>15</v>
      </c>
      <c r="C27" s="2">
        <v>55</v>
      </c>
      <c r="D27" s="2" t="s">
        <v>2</v>
      </c>
      <c r="E27" s="2" t="s">
        <v>3</v>
      </c>
      <c r="F27" s="2">
        <v>14325</v>
      </c>
      <c r="G27" s="2" t="s">
        <v>4</v>
      </c>
      <c r="H27" s="2">
        <v>3310</v>
      </c>
      <c r="I27" s="2" t="s">
        <v>74</v>
      </c>
      <c r="J27" s="2" t="s">
        <v>22</v>
      </c>
      <c r="K27" s="2" t="s">
        <v>7</v>
      </c>
      <c r="L27" t="str">
        <f t="shared" si="0"/>
        <v>Jan</v>
      </c>
      <c r="M27" t="str">
        <f t="shared" si="1"/>
        <v>High</v>
      </c>
    </row>
    <row r="28" spans="1:13">
      <c r="A28" s="1" t="s">
        <v>75</v>
      </c>
      <c r="B28" s="2" t="s">
        <v>45</v>
      </c>
      <c r="C28" s="2">
        <v>32</v>
      </c>
      <c r="D28" s="2" t="s">
        <v>2</v>
      </c>
      <c r="E28" s="2" t="s">
        <v>3</v>
      </c>
      <c r="F28" s="2">
        <v>7362</v>
      </c>
      <c r="G28" s="2" t="s">
        <v>17</v>
      </c>
      <c r="H28" s="2">
        <v>2938</v>
      </c>
      <c r="I28" s="2" t="s">
        <v>76</v>
      </c>
      <c r="J28" s="2" t="s">
        <v>29</v>
      </c>
      <c r="K28" s="2" t="s">
        <v>26</v>
      </c>
      <c r="L28" t="str">
        <f t="shared" si="0"/>
        <v>Jan</v>
      </c>
      <c r="M28" t="str">
        <f t="shared" si="1"/>
        <v>low</v>
      </c>
    </row>
    <row r="29" spans="1:13">
      <c r="A29" s="1" t="s">
        <v>77</v>
      </c>
      <c r="B29" s="2" t="s">
        <v>78</v>
      </c>
      <c r="C29" s="2">
        <v>24</v>
      </c>
      <c r="D29" s="2" t="s">
        <v>34</v>
      </c>
      <c r="E29" s="2" t="s">
        <v>10</v>
      </c>
      <c r="F29" s="2">
        <v>15230</v>
      </c>
      <c r="G29" s="2" t="s">
        <v>11</v>
      </c>
      <c r="H29" s="2">
        <v>4158</v>
      </c>
      <c r="I29" s="2" t="s">
        <v>79</v>
      </c>
      <c r="J29" s="2" t="s">
        <v>13</v>
      </c>
      <c r="K29" s="2" t="s">
        <v>7</v>
      </c>
      <c r="L29" t="str">
        <f t="shared" si="0"/>
        <v>Jan</v>
      </c>
      <c r="M29" t="str">
        <f t="shared" si="1"/>
        <v>High</v>
      </c>
    </row>
    <row r="30" spans="1:13">
      <c r="A30" s="1" t="s">
        <v>80</v>
      </c>
      <c r="B30" s="2" t="s">
        <v>57</v>
      </c>
      <c r="C30" s="2">
        <v>54</v>
      </c>
      <c r="D30" s="2" t="s">
        <v>2</v>
      </c>
      <c r="E30" s="2" t="s">
        <v>10</v>
      </c>
      <c r="F30" s="2">
        <v>17972</v>
      </c>
      <c r="G30" s="2" t="s">
        <v>4</v>
      </c>
      <c r="H30" s="2">
        <v>512</v>
      </c>
      <c r="I30" s="2" t="s">
        <v>81</v>
      </c>
      <c r="J30" s="2" t="s">
        <v>6</v>
      </c>
      <c r="K30" s="2" t="s">
        <v>26</v>
      </c>
      <c r="L30" t="str">
        <f t="shared" si="0"/>
        <v>Jan</v>
      </c>
      <c r="M30" t="str">
        <f t="shared" si="1"/>
        <v>High</v>
      </c>
    </row>
    <row r="31" spans="1:13">
      <c r="A31" s="1" t="s">
        <v>82</v>
      </c>
      <c r="B31" s="2" t="s">
        <v>20</v>
      </c>
      <c r="C31" s="2">
        <v>48</v>
      </c>
      <c r="D31" s="2" t="s">
        <v>2</v>
      </c>
      <c r="E31" s="2" t="s">
        <v>3</v>
      </c>
      <c r="F31" s="2">
        <v>6909</v>
      </c>
      <c r="G31" s="2" t="s">
        <v>11</v>
      </c>
      <c r="H31" s="2">
        <v>733</v>
      </c>
      <c r="I31" s="2" t="s">
        <v>83</v>
      </c>
      <c r="J31" s="2" t="s">
        <v>29</v>
      </c>
      <c r="K31" s="2" t="s">
        <v>26</v>
      </c>
      <c r="L31" t="str">
        <f t="shared" si="0"/>
        <v>Jan</v>
      </c>
      <c r="M31" t="str">
        <f t="shared" si="1"/>
        <v>low</v>
      </c>
    </row>
    <row r="32" spans="1:13">
      <c r="A32" s="1" t="s">
        <v>84</v>
      </c>
      <c r="B32" s="2" t="s">
        <v>1</v>
      </c>
      <c r="C32" s="2">
        <v>51</v>
      </c>
      <c r="D32" s="2" t="s">
        <v>2</v>
      </c>
      <c r="E32" s="2" t="s">
        <v>16</v>
      </c>
      <c r="F32" s="2">
        <v>13528</v>
      </c>
      <c r="G32" s="2" t="s">
        <v>17</v>
      </c>
      <c r="H32" s="2">
        <v>4080</v>
      </c>
      <c r="I32" s="3" t="s">
        <v>85</v>
      </c>
      <c r="J32" s="2" t="s">
        <v>6</v>
      </c>
      <c r="K32" s="2" t="s">
        <v>7</v>
      </c>
      <c r="L32" t="str">
        <f t="shared" si="0"/>
        <v>Feb</v>
      </c>
      <c r="M32" t="str">
        <f t="shared" si="1"/>
        <v>High</v>
      </c>
    </row>
    <row r="33" spans="1:13">
      <c r="A33" s="1" t="s">
        <v>86</v>
      </c>
      <c r="B33" s="2" t="s">
        <v>1</v>
      </c>
      <c r="C33" s="2">
        <v>51</v>
      </c>
      <c r="D33" s="2" t="s">
        <v>2</v>
      </c>
      <c r="E33" s="2" t="s">
        <v>3</v>
      </c>
      <c r="F33" s="2">
        <v>4545</v>
      </c>
      <c r="G33" s="2" t="s">
        <v>4</v>
      </c>
      <c r="H33" s="2">
        <v>3751</v>
      </c>
      <c r="I33" s="3" t="s">
        <v>87</v>
      </c>
      <c r="J33" s="2" t="s">
        <v>29</v>
      </c>
      <c r="K33" s="2" t="s">
        <v>26</v>
      </c>
      <c r="L33" t="str">
        <f t="shared" si="0"/>
        <v>Feb</v>
      </c>
      <c r="M33" t="str">
        <f t="shared" si="1"/>
        <v>low</v>
      </c>
    </row>
    <row r="34" spans="1:13">
      <c r="A34" s="1" t="s">
        <v>88</v>
      </c>
      <c r="B34" s="2" t="s">
        <v>78</v>
      </c>
      <c r="C34" s="2">
        <v>24</v>
      </c>
      <c r="D34" s="2" t="s">
        <v>34</v>
      </c>
      <c r="E34" s="2" t="s">
        <v>16</v>
      </c>
      <c r="F34" s="2">
        <v>11393</v>
      </c>
      <c r="G34" s="2" t="s">
        <v>11</v>
      </c>
      <c r="H34" s="2">
        <v>2577</v>
      </c>
      <c r="I34" s="2" t="s">
        <v>89</v>
      </c>
      <c r="J34" s="2" t="s">
        <v>6</v>
      </c>
      <c r="K34" s="2" t="s">
        <v>7</v>
      </c>
      <c r="L34" t="str">
        <f t="shared" si="0"/>
        <v>Feb</v>
      </c>
      <c r="M34" t="str">
        <f t="shared" si="1"/>
        <v>High</v>
      </c>
    </row>
    <row r="35" spans="1:13">
      <c r="A35" s="1" t="s">
        <v>90</v>
      </c>
      <c r="B35" s="2" t="s">
        <v>24</v>
      </c>
      <c r="C35" s="2">
        <v>23</v>
      </c>
      <c r="D35" s="2" t="s">
        <v>34</v>
      </c>
      <c r="E35" s="2" t="s">
        <v>10</v>
      </c>
      <c r="F35" s="2">
        <v>4704</v>
      </c>
      <c r="G35" s="2" t="s">
        <v>11</v>
      </c>
      <c r="H35" s="2">
        <v>3783</v>
      </c>
      <c r="I35" s="2" t="s">
        <v>91</v>
      </c>
      <c r="J35" s="2" t="s">
        <v>6</v>
      </c>
      <c r="K35" s="2" t="s">
        <v>7</v>
      </c>
      <c r="L35" t="str">
        <f t="shared" si="0"/>
        <v>Feb</v>
      </c>
      <c r="M35" t="str">
        <f t="shared" si="1"/>
        <v>low</v>
      </c>
    </row>
    <row r="36" spans="1:13">
      <c r="A36" s="1" t="s">
        <v>92</v>
      </c>
      <c r="B36" s="2" t="s">
        <v>33</v>
      </c>
      <c r="C36" s="2">
        <v>25</v>
      </c>
      <c r="D36" s="2" t="s">
        <v>34</v>
      </c>
      <c r="E36" s="2" t="s">
        <v>3</v>
      </c>
      <c r="F36" s="2">
        <v>22612</v>
      </c>
      <c r="G36" s="2" t="s">
        <v>4</v>
      </c>
      <c r="H36" s="2">
        <v>3090</v>
      </c>
      <c r="I36" s="2" t="s">
        <v>93</v>
      </c>
      <c r="J36" s="2" t="s">
        <v>6</v>
      </c>
      <c r="K36" s="2" t="s">
        <v>7</v>
      </c>
      <c r="L36" t="str">
        <f t="shared" si="0"/>
        <v>Feb</v>
      </c>
      <c r="M36" t="str">
        <f t="shared" si="1"/>
        <v>High</v>
      </c>
    </row>
    <row r="37" spans="1:13">
      <c r="A37" s="1" t="s">
        <v>94</v>
      </c>
      <c r="B37" s="2" t="s">
        <v>33</v>
      </c>
      <c r="C37" s="2">
        <v>25</v>
      </c>
      <c r="D37" s="2" t="s">
        <v>2</v>
      </c>
      <c r="E37" s="2" t="s">
        <v>3</v>
      </c>
      <c r="F37" s="2">
        <v>15027</v>
      </c>
      <c r="G37" s="2" t="s">
        <v>4</v>
      </c>
      <c r="H37" s="2">
        <v>2329</v>
      </c>
      <c r="I37" s="2" t="s">
        <v>95</v>
      </c>
      <c r="J37" s="2" t="s">
        <v>29</v>
      </c>
      <c r="K37" s="2" t="s">
        <v>26</v>
      </c>
      <c r="L37" t="str">
        <f t="shared" si="0"/>
        <v>Feb</v>
      </c>
      <c r="M37" t="str">
        <f t="shared" si="1"/>
        <v>High</v>
      </c>
    </row>
    <row r="38" spans="1:13">
      <c r="A38" s="1" t="s">
        <v>96</v>
      </c>
      <c r="B38" s="2" t="s">
        <v>78</v>
      </c>
      <c r="C38" s="2">
        <v>24</v>
      </c>
      <c r="D38" s="2" t="s">
        <v>2</v>
      </c>
      <c r="E38" s="2" t="s">
        <v>3</v>
      </c>
      <c r="F38" s="2">
        <v>16005</v>
      </c>
      <c r="G38" s="2" t="s">
        <v>11</v>
      </c>
      <c r="H38" s="2">
        <v>4287</v>
      </c>
      <c r="I38" s="2" t="s">
        <v>97</v>
      </c>
      <c r="J38" s="2" t="s">
        <v>22</v>
      </c>
      <c r="K38" s="2" t="s">
        <v>7</v>
      </c>
      <c r="L38" t="str">
        <f t="shared" si="0"/>
        <v>Feb</v>
      </c>
      <c r="M38" t="str">
        <f t="shared" si="1"/>
        <v>High</v>
      </c>
    </row>
    <row r="39" spans="1:13">
      <c r="A39" s="1" t="s">
        <v>98</v>
      </c>
      <c r="B39" s="2" t="s">
        <v>24</v>
      </c>
      <c r="C39" s="2">
        <v>23</v>
      </c>
      <c r="D39" s="2" t="s">
        <v>34</v>
      </c>
      <c r="E39" s="2" t="s">
        <v>3</v>
      </c>
      <c r="F39" s="2">
        <v>18842</v>
      </c>
      <c r="G39" s="2" t="s">
        <v>4</v>
      </c>
      <c r="H39" s="2">
        <v>2616</v>
      </c>
      <c r="I39" s="2" t="s">
        <v>99</v>
      </c>
      <c r="J39" s="2" t="s">
        <v>22</v>
      </c>
      <c r="K39" s="2" t="s">
        <v>26</v>
      </c>
      <c r="L39" t="str">
        <f t="shared" si="0"/>
        <v>Feb</v>
      </c>
      <c r="M39" t="str">
        <f t="shared" si="1"/>
        <v>High</v>
      </c>
    </row>
    <row r="40" spans="1:13">
      <c r="A40" s="1" t="s">
        <v>100</v>
      </c>
      <c r="B40" s="2" t="s">
        <v>9</v>
      </c>
      <c r="C40" s="2">
        <v>51</v>
      </c>
      <c r="D40" s="2" t="s">
        <v>34</v>
      </c>
      <c r="E40" s="2" t="s">
        <v>3</v>
      </c>
      <c r="F40" s="2">
        <v>14666</v>
      </c>
      <c r="G40" s="2" t="s">
        <v>11</v>
      </c>
      <c r="H40" s="2">
        <v>2858</v>
      </c>
      <c r="I40" s="2" t="s">
        <v>101</v>
      </c>
      <c r="J40" s="2" t="s">
        <v>13</v>
      </c>
      <c r="K40" s="2" t="s">
        <v>26</v>
      </c>
      <c r="L40" t="str">
        <f t="shared" si="0"/>
        <v>Feb</v>
      </c>
      <c r="M40" t="str">
        <f t="shared" si="1"/>
        <v>High</v>
      </c>
    </row>
    <row r="41" spans="1:13">
      <c r="A41" s="1" t="s">
        <v>102</v>
      </c>
      <c r="B41" s="2" t="s">
        <v>48</v>
      </c>
      <c r="C41" s="2">
        <v>28</v>
      </c>
      <c r="D41" s="2" t="s">
        <v>2</v>
      </c>
      <c r="E41" s="2" t="s">
        <v>16</v>
      </c>
      <c r="F41" s="2">
        <v>12463</v>
      </c>
      <c r="G41" s="2" t="s">
        <v>4</v>
      </c>
      <c r="H41" s="2">
        <v>4353</v>
      </c>
      <c r="I41" s="2" t="s">
        <v>103</v>
      </c>
      <c r="J41" s="2" t="s">
        <v>29</v>
      </c>
      <c r="K41" s="2" t="s">
        <v>26</v>
      </c>
      <c r="L41" t="str">
        <f t="shared" si="0"/>
        <v>Feb</v>
      </c>
      <c r="M41" t="str">
        <f t="shared" si="1"/>
        <v>High</v>
      </c>
    </row>
    <row r="42" spans="1:13">
      <c r="A42" s="1" t="s">
        <v>104</v>
      </c>
      <c r="B42" s="2" t="s">
        <v>24</v>
      </c>
      <c r="C42" s="2">
        <v>23</v>
      </c>
      <c r="D42" s="2" t="s">
        <v>34</v>
      </c>
      <c r="E42" s="2" t="s">
        <v>16</v>
      </c>
      <c r="F42" s="2">
        <v>24608</v>
      </c>
      <c r="G42" s="2" t="s">
        <v>4</v>
      </c>
      <c r="H42" s="2">
        <v>1851</v>
      </c>
      <c r="I42" s="2" t="s">
        <v>105</v>
      </c>
      <c r="J42" s="2" t="s">
        <v>22</v>
      </c>
      <c r="K42" s="2" t="s">
        <v>7</v>
      </c>
      <c r="L42" t="str">
        <f t="shared" si="0"/>
        <v>Feb</v>
      </c>
      <c r="M42" t="str">
        <f t="shared" si="1"/>
        <v>High</v>
      </c>
    </row>
    <row r="43" spans="1:13">
      <c r="A43" s="1" t="s">
        <v>106</v>
      </c>
      <c r="B43" s="2" t="s">
        <v>78</v>
      </c>
      <c r="C43" s="2">
        <v>24</v>
      </c>
      <c r="D43" s="2" t="s">
        <v>2</v>
      </c>
      <c r="E43" s="2" t="s">
        <v>16</v>
      </c>
      <c r="F43" s="2">
        <v>3447</v>
      </c>
      <c r="G43" s="2" t="s">
        <v>4</v>
      </c>
      <c r="H43" s="2">
        <v>3866</v>
      </c>
      <c r="I43" s="2" t="s">
        <v>107</v>
      </c>
      <c r="J43" s="2" t="s">
        <v>6</v>
      </c>
      <c r="K43" s="2" t="s">
        <v>26</v>
      </c>
      <c r="L43" t="str">
        <f t="shared" si="0"/>
        <v>Feb</v>
      </c>
      <c r="M43" t="str">
        <f t="shared" si="1"/>
        <v>low</v>
      </c>
    </row>
    <row r="44" spans="1:13">
      <c r="A44" s="1" t="s">
        <v>108</v>
      </c>
      <c r="B44" s="2" t="s">
        <v>33</v>
      </c>
      <c r="C44" s="2">
        <v>25</v>
      </c>
      <c r="D44" s="2" t="s">
        <v>2</v>
      </c>
      <c r="E44" s="2" t="s">
        <v>3</v>
      </c>
      <c r="F44" s="2">
        <v>13765</v>
      </c>
      <c r="G44" s="2" t="s">
        <v>17</v>
      </c>
      <c r="H44" s="2">
        <v>1747</v>
      </c>
      <c r="I44" s="2" t="s">
        <v>109</v>
      </c>
      <c r="J44" s="2" t="s">
        <v>6</v>
      </c>
      <c r="K44" s="2" t="s">
        <v>26</v>
      </c>
      <c r="L44" t="str">
        <f t="shared" si="0"/>
        <v>Feb</v>
      </c>
      <c r="M44" t="str">
        <f t="shared" si="1"/>
        <v>High</v>
      </c>
    </row>
    <row r="45" spans="1:13">
      <c r="A45" s="1" t="s">
        <v>110</v>
      </c>
      <c r="B45" s="2" t="s">
        <v>33</v>
      </c>
      <c r="C45" s="2">
        <v>25</v>
      </c>
      <c r="D45" s="2" t="s">
        <v>2</v>
      </c>
      <c r="E45" s="2" t="s">
        <v>3</v>
      </c>
      <c r="F45" s="2">
        <v>6009</v>
      </c>
      <c r="G45" s="2" t="s">
        <v>17</v>
      </c>
      <c r="H45" s="2">
        <v>1907</v>
      </c>
      <c r="I45" s="2" t="s">
        <v>111</v>
      </c>
      <c r="J45" s="2" t="s">
        <v>22</v>
      </c>
      <c r="K45" s="2" t="s">
        <v>7</v>
      </c>
      <c r="L45" t="str">
        <f t="shared" si="0"/>
        <v>Feb</v>
      </c>
      <c r="M45" t="str">
        <f t="shared" si="1"/>
        <v>low</v>
      </c>
    </row>
    <row r="46" spans="1:13">
      <c r="A46" s="1" t="s">
        <v>112</v>
      </c>
      <c r="B46" s="2" t="s">
        <v>9</v>
      </c>
      <c r="C46" s="2">
        <v>51</v>
      </c>
      <c r="D46" s="2" t="s">
        <v>34</v>
      </c>
      <c r="E46" s="2" t="s">
        <v>16</v>
      </c>
      <c r="F46" s="2">
        <v>21550</v>
      </c>
      <c r="G46" s="2" t="s">
        <v>11</v>
      </c>
      <c r="H46" s="2">
        <v>4997</v>
      </c>
      <c r="I46" s="2" t="s">
        <v>113</v>
      </c>
      <c r="J46" s="2" t="s">
        <v>22</v>
      </c>
      <c r="K46" s="2" t="s">
        <v>7</v>
      </c>
      <c r="L46" t="str">
        <f t="shared" si="0"/>
        <v>Feb</v>
      </c>
      <c r="M46" t="str">
        <f t="shared" si="1"/>
        <v>High</v>
      </c>
    </row>
    <row r="47" spans="1:13">
      <c r="A47" s="1" t="s">
        <v>114</v>
      </c>
      <c r="B47" s="2" t="s">
        <v>78</v>
      </c>
      <c r="C47" s="2">
        <v>24</v>
      </c>
      <c r="D47" s="2" t="s">
        <v>2</v>
      </c>
      <c r="E47" s="2" t="s">
        <v>10</v>
      </c>
      <c r="F47" s="2">
        <v>23861</v>
      </c>
      <c r="G47" s="2" t="s">
        <v>11</v>
      </c>
      <c r="H47" s="2">
        <v>1485</v>
      </c>
      <c r="I47" s="2" t="s">
        <v>115</v>
      </c>
      <c r="J47" s="2" t="s">
        <v>6</v>
      </c>
      <c r="K47" s="2" t="s">
        <v>7</v>
      </c>
      <c r="L47" t="str">
        <f t="shared" si="0"/>
        <v>Feb</v>
      </c>
      <c r="M47" t="str">
        <f t="shared" si="1"/>
        <v>High</v>
      </c>
    </row>
    <row r="48" spans="1:13">
      <c r="A48" s="1" t="s">
        <v>116</v>
      </c>
      <c r="B48" s="2" t="s">
        <v>78</v>
      </c>
      <c r="C48" s="2">
        <v>24</v>
      </c>
      <c r="D48" s="2" t="s">
        <v>2</v>
      </c>
      <c r="E48" s="2" t="s">
        <v>16</v>
      </c>
      <c r="F48" s="2">
        <v>11940</v>
      </c>
      <c r="G48" s="2" t="s">
        <v>4</v>
      </c>
      <c r="H48" s="2">
        <v>528</v>
      </c>
      <c r="I48" s="2" t="s">
        <v>117</v>
      </c>
      <c r="J48" s="2" t="s">
        <v>22</v>
      </c>
      <c r="K48" s="2" t="s">
        <v>7</v>
      </c>
      <c r="L48" t="str">
        <f t="shared" si="0"/>
        <v>Feb</v>
      </c>
      <c r="M48" t="str">
        <f t="shared" si="1"/>
        <v>High</v>
      </c>
    </row>
    <row r="49" spans="1:13">
      <c r="A49" s="1" t="s">
        <v>118</v>
      </c>
      <c r="B49" s="2" t="s">
        <v>1</v>
      </c>
      <c r="C49" s="2">
        <v>51</v>
      </c>
      <c r="D49" s="2" t="s">
        <v>2</v>
      </c>
      <c r="E49" s="2" t="s">
        <v>10</v>
      </c>
      <c r="F49" s="2">
        <v>13515</v>
      </c>
      <c r="G49" s="2" t="s">
        <v>17</v>
      </c>
      <c r="H49" s="2">
        <v>2372</v>
      </c>
      <c r="I49" s="3" t="s">
        <v>119</v>
      </c>
      <c r="J49" s="2" t="s">
        <v>6</v>
      </c>
      <c r="K49" s="2" t="s">
        <v>26</v>
      </c>
      <c r="L49" t="str">
        <f t="shared" si="0"/>
        <v>Feb</v>
      </c>
      <c r="M49" t="str">
        <f t="shared" si="1"/>
        <v>High</v>
      </c>
    </row>
    <row r="50" spans="1:13">
      <c r="A50" s="1" t="s">
        <v>120</v>
      </c>
      <c r="B50" s="2" t="s">
        <v>20</v>
      </c>
      <c r="C50" s="2">
        <v>48</v>
      </c>
      <c r="D50" s="2" t="s">
        <v>34</v>
      </c>
      <c r="E50" s="2" t="s">
        <v>10</v>
      </c>
      <c r="F50" s="2">
        <v>10502</v>
      </c>
      <c r="G50" s="2" t="s">
        <v>17</v>
      </c>
      <c r="H50" s="2">
        <v>3220</v>
      </c>
      <c r="I50" s="2" t="s">
        <v>121</v>
      </c>
      <c r="J50" s="2" t="s">
        <v>13</v>
      </c>
      <c r="K50" s="2" t="s">
        <v>26</v>
      </c>
      <c r="L50" t="str">
        <f t="shared" si="0"/>
        <v>Feb</v>
      </c>
      <c r="M50" t="str">
        <f t="shared" si="1"/>
        <v>High</v>
      </c>
    </row>
    <row r="51" spans="1:13">
      <c r="A51" s="1" t="s">
        <v>122</v>
      </c>
      <c r="B51" s="2" t="s">
        <v>78</v>
      </c>
      <c r="C51" s="2">
        <v>24</v>
      </c>
      <c r="D51" s="2" t="s">
        <v>34</v>
      </c>
      <c r="E51" s="2" t="s">
        <v>10</v>
      </c>
      <c r="F51" s="2">
        <v>14867</v>
      </c>
      <c r="G51" s="2" t="s">
        <v>17</v>
      </c>
      <c r="H51" s="2">
        <v>2732</v>
      </c>
      <c r="I51" s="2" t="s">
        <v>123</v>
      </c>
      <c r="J51" s="2" t="s">
        <v>6</v>
      </c>
      <c r="K51" s="2" t="s">
        <v>26</v>
      </c>
      <c r="L51" t="str">
        <f t="shared" si="0"/>
        <v>Feb</v>
      </c>
      <c r="M51" t="str">
        <f t="shared" si="1"/>
        <v>High</v>
      </c>
    </row>
    <row r="52" spans="1:13">
      <c r="A52" s="1" t="s">
        <v>124</v>
      </c>
      <c r="B52" s="2" t="s">
        <v>15</v>
      </c>
      <c r="C52" s="2">
        <v>55</v>
      </c>
      <c r="D52" s="2" t="s">
        <v>34</v>
      </c>
      <c r="E52" s="2" t="s">
        <v>3</v>
      </c>
      <c r="F52" s="2">
        <v>11892</v>
      </c>
      <c r="G52" s="2" t="s">
        <v>4</v>
      </c>
      <c r="H52" s="2">
        <v>4698</v>
      </c>
      <c r="I52" s="2" t="s">
        <v>125</v>
      </c>
      <c r="J52" s="2" t="s">
        <v>13</v>
      </c>
      <c r="K52" s="2" t="s">
        <v>7</v>
      </c>
      <c r="L52" t="str">
        <f t="shared" si="0"/>
        <v>Feb</v>
      </c>
      <c r="M52" t="str">
        <f t="shared" si="1"/>
        <v>High</v>
      </c>
    </row>
    <row r="53" spans="1:13">
      <c r="A53" s="1" t="s">
        <v>126</v>
      </c>
      <c r="B53" s="2" t="s">
        <v>20</v>
      </c>
      <c r="C53" s="2">
        <v>48</v>
      </c>
      <c r="D53" s="2" t="s">
        <v>2</v>
      </c>
      <c r="E53" s="2" t="s">
        <v>16</v>
      </c>
      <c r="F53" s="2">
        <v>19041</v>
      </c>
      <c r="G53" s="2" t="s">
        <v>17</v>
      </c>
      <c r="H53" s="2">
        <v>1452</v>
      </c>
      <c r="I53" s="2" t="s">
        <v>127</v>
      </c>
      <c r="J53" s="2" t="s">
        <v>13</v>
      </c>
      <c r="K53" s="2" t="s">
        <v>26</v>
      </c>
      <c r="L53" t="str">
        <f t="shared" si="0"/>
        <v>Feb</v>
      </c>
      <c r="M53" t="str">
        <f t="shared" si="1"/>
        <v>High</v>
      </c>
    </row>
    <row r="54" spans="1:13">
      <c r="A54" s="1" t="s">
        <v>128</v>
      </c>
      <c r="B54" s="2" t="s">
        <v>24</v>
      </c>
      <c r="C54" s="2">
        <v>23</v>
      </c>
      <c r="D54" s="2" t="s">
        <v>34</v>
      </c>
      <c r="E54" s="2" t="s">
        <v>16</v>
      </c>
      <c r="F54" s="2">
        <v>24686</v>
      </c>
      <c r="G54" s="2" t="s">
        <v>11</v>
      </c>
      <c r="H54" s="2">
        <v>3755</v>
      </c>
      <c r="I54" s="2" t="s">
        <v>129</v>
      </c>
      <c r="J54" s="2" t="s">
        <v>6</v>
      </c>
      <c r="K54" s="2" t="s">
        <v>26</v>
      </c>
      <c r="L54" t="str">
        <f t="shared" si="0"/>
        <v>Feb</v>
      </c>
      <c r="M54" t="str">
        <f t="shared" si="1"/>
        <v>High</v>
      </c>
    </row>
    <row r="55" spans="1:13">
      <c r="A55" s="1" t="s">
        <v>130</v>
      </c>
      <c r="B55" s="2" t="s">
        <v>45</v>
      </c>
      <c r="C55" s="2">
        <v>32</v>
      </c>
      <c r="D55" s="2" t="s">
        <v>2</v>
      </c>
      <c r="E55" s="2" t="s">
        <v>10</v>
      </c>
      <c r="F55" s="2">
        <v>13663</v>
      </c>
      <c r="G55" s="2" t="s">
        <v>17</v>
      </c>
      <c r="H55" s="2">
        <v>2775</v>
      </c>
      <c r="I55" s="2" t="s">
        <v>131</v>
      </c>
      <c r="J55" s="2" t="s">
        <v>13</v>
      </c>
      <c r="K55" s="2" t="s">
        <v>26</v>
      </c>
      <c r="L55" t="str">
        <f t="shared" si="0"/>
        <v>Feb</v>
      </c>
      <c r="M55" t="str">
        <f t="shared" si="1"/>
        <v>High</v>
      </c>
    </row>
    <row r="56" spans="1:13">
      <c r="A56" s="1" t="s">
        <v>132</v>
      </c>
      <c r="B56" s="2" t="s">
        <v>24</v>
      </c>
      <c r="C56" s="2">
        <v>23</v>
      </c>
      <c r="D56" s="2" t="s">
        <v>2</v>
      </c>
      <c r="E56" s="2" t="s">
        <v>16</v>
      </c>
      <c r="F56" s="2">
        <v>24486</v>
      </c>
      <c r="G56" s="2" t="s">
        <v>11</v>
      </c>
      <c r="H56" s="2">
        <v>2606</v>
      </c>
      <c r="I56" s="2" t="s">
        <v>133</v>
      </c>
      <c r="J56" s="2" t="s">
        <v>6</v>
      </c>
      <c r="K56" s="2" t="s">
        <v>26</v>
      </c>
      <c r="L56" t="str">
        <f t="shared" si="0"/>
        <v>Feb</v>
      </c>
      <c r="M56" t="str">
        <f t="shared" si="1"/>
        <v>High</v>
      </c>
    </row>
    <row r="57" spans="1:13">
      <c r="A57" s="1" t="s">
        <v>134</v>
      </c>
      <c r="B57" s="2" t="s">
        <v>20</v>
      </c>
      <c r="C57" s="2">
        <v>48</v>
      </c>
      <c r="D57" s="2" t="s">
        <v>34</v>
      </c>
      <c r="E57" s="2" t="s">
        <v>3</v>
      </c>
      <c r="F57" s="2">
        <v>3674</v>
      </c>
      <c r="G57" s="2" t="s">
        <v>17</v>
      </c>
      <c r="H57" s="2">
        <v>2928</v>
      </c>
      <c r="I57" s="2" t="s">
        <v>135</v>
      </c>
      <c r="J57" s="2" t="s">
        <v>29</v>
      </c>
      <c r="K57" s="2" t="s">
        <v>7</v>
      </c>
      <c r="L57" t="str">
        <f t="shared" si="0"/>
        <v>Feb</v>
      </c>
      <c r="M57" t="str">
        <f t="shared" si="1"/>
        <v>low</v>
      </c>
    </row>
    <row r="58" spans="1:13">
      <c r="A58" s="1" t="s">
        <v>136</v>
      </c>
      <c r="B58" s="2" t="s">
        <v>78</v>
      </c>
      <c r="C58" s="2">
        <v>24</v>
      </c>
      <c r="D58" s="2" t="s">
        <v>2</v>
      </c>
      <c r="E58" s="2" t="s">
        <v>16</v>
      </c>
      <c r="F58" s="2">
        <v>12384</v>
      </c>
      <c r="G58" s="2" t="s">
        <v>17</v>
      </c>
      <c r="H58" s="2">
        <v>999</v>
      </c>
      <c r="I58" s="2" t="s">
        <v>137</v>
      </c>
      <c r="J58" s="2" t="s">
        <v>13</v>
      </c>
      <c r="K58" s="2" t="s">
        <v>26</v>
      </c>
      <c r="L58" t="str">
        <f t="shared" si="0"/>
        <v>Feb</v>
      </c>
      <c r="M58" t="str">
        <f t="shared" si="1"/>
        <v>High</v>
      </c>
    </row>
    <row r="59" spans="1:13">
      <c r="A59" s="1" t="s">
        <v>138</v>
      </c>
      <c r="B59" s="2" t="s">
        <v>9</v>
      </c>
      <c r="C59" s="2">
        <v>51</v>
      </c>
      <c r="D59" s="2" t="s">
        <v>2</v>
      </c>
      <c r="E59" s="2" t="s">
        <v>16</v>
      </c>
      <c r="F59" s="2">
        <v>6335</v>
      </c>
      <c r="G59" s="2" t="s">
        <v>11</v>
      </c>
      <c r="H59" s="2">
        <v>4512</v>
      </c>
      <c r="I59" s="2" t="s">
        <v>139</v>
      </c>
      <c r="J59" s="2" t="s">
        <v>29</v>
      </c>
      <c r="K59" s="2" t="s">
        <v>26</v>
      </c>
      <c r="L59" t="str">
        <f t="shared" si="0"/>
        <v>Feb</v>
      </c>
      <c r="M59" t="str">
        <f t="shared" si="1"/>
        <v>low</v>
      </c>
    </row>
    <row r="60" spans="1:13">
      <c r="A60" s="1" t="s">
        <v>140</v>
      </c>
      <c r="B60" s="2" t="s">
        <v>9</v>
      </c>
      <c r="C60" s="2">
        <v>51</v>
      </c>
      <c r="D60" s="2" t="s">
        <v>2</v>
      </c>
      <c r="E60" s="2" t="s">
        <v>10</v>
      </c>
      <c r="F60" s="2">
        <v>23871</v>
      </c>
      <c r="G60" s="2" t="s">
        <v>4</v>
      </c>
      <c r="H60" s="2">
        <v>1905</v>
      </c>
      <c r="I60" s="2" t="s">
        <v>141</v>
      </c>
      <c r="J60" s="2" t="s">
        <v>6</v>
      </c>
      <c r="K60" s="2" t="s">
        <v>26</v>
      </c>
      <c r="L60" t="str">
        <f t="shared" si="0"/>
        <v>Mar</v>
      </c>
      <c r="M60" t="str">
        <f t="shared" si="1"/>
        <v>High</v>
      </c>
    </row>
    <row r="61" spans="1:13">
      <c r="A61" s="1" t="s">
        <v>142</v>
      </c>
      <c r="B61" s="2" t="s">
        <v>45</v>
      </c>
      <c r="C61" s="2">
        <v>32</v>
      </c>
      <c r="D61" s="2" t="s">
        <v>34</v>
      </c>
      <c r="E61" s="2" t="s">
        <v>10</v>
      </c>
      <c r="F61" s="2">
        <v>18575</v>
      </c>
      <c r="G61" s="2" t="s">
        <v>4</v>
      </c>
      <c r="H61" s="2">
        <v>3952</v>
      </c>
      <c r="I61" s="2" t="s">
        <v>143</v>
      </c>
      <c r="J61" s="2" t="s">
        <v>22</v>
      </c>
      <c r="K61" s="2" t="s">
        <v>7</v>
      </c>
      <c r="L61" t="str">
        <f t="shared" si="0"/>
        <v>Mar</v>
      </c>
      <c r="M61" t="str">
        <f t="shared" si="1"/>
        <v>High</v>
      </c>
    </row>
    <row r="62" spans="1:13">
      <c r="A62" s="1" t="s">
        <v>144</v>
      </c>
      <c r="B62" s="2" t="s">
        <v>1</v>
      </c>
      <c r="C62" s="2">
        <v>51</v>
      </c>
      <c r="D62" s="2" t="s">
        <v>34</v>
      </c>
      <c r="E62" s="2" t="s">
        <v>3</v>
      </c>
      <c r="F62" s="2">
        <v>3040</v>
      </c>
      <c r="G62" s="2" t="s">
        <v>11</v>
      </c>
      <c r="H62" s="2">
        <v>4309</v>
      </c>
      <c r="I62" s="3" t="s">
        <v>145</v>
      </c>
      <c r="J62" s="2" t="s">
        <v>22</v>
      </c>
      <c r="K62" s="2" t="s">
        <v>26</v>
      </c>
      <c r="L62" t="str">
        <f t="shared" si="0"/>
        <v>Mar</v>
      </c>
      <c r="M62" t="str">
        <f t="shared" si="1"/>
        <v>low</v>
      </c>
    </row>
    <row r="63" spans="1:13">
      <c r="A63" s="1" t="s">
        <v>146</v>
      </c>
      <c r="B63" s="2" t="s">
        <v>20</v>
      </c>
      <c r="C63" s="2">
        <v>48</v>
      </c>
      <c r="D63" s="2" t="s">
        <v>34</v>
      </c>
      <c r="E63" s="2" t="s">
        <v>3</v>
      </c>
      <c r="F63" s="2">
        <v>23764</v>
      </c>
      <c r="G63" s="2" t="s">
        <v>11</v>
      </c>
      <c r="H63" s="2">
        <v>1014</v>
      </c>
      <c r="I63" s="2" t="s">
        <v>147</v>
      </c>
      <c r="J63" s="2" t="s">
        <v>22</v>
      </c>
      <c r="K63" s="2" t="s">
        <v>7</v>
      </c>
      <c r="L63" t="str">
        <f t="shared" si="0"/>
        <v>Mar</v>
      </c>
      <c r="M63" t="str">
        <f t="shared" si="1"/>
        <v>High</v>
      </c>
    </row>
    <row r="64" spans="1:13">
      <c r="A64" s="1" t="s">
        <v>148</v>
      </c>
      <c r="B64" s="2" t="s">
        <v>57</v>
      </c>
      <c r="C64" s="2">
        <v>54</v>
      </c>
      <c r="D64" s="2" t="s">
        <v>34</v>
      </c>
      <c r="E64" s="2" t="s">
        <v>10</v>
      </c>
      <c r="F64" s="2">
        <v>6658</v>
      </c>
      <c r="G64" s="2" t="s">
        <v>11</v>
      </c>
      <c r="H64" s="2">
        <v>1277</v>
      </c>
      <c r="I64" s="2" t="s">
        <v>149</v>
      </c>
      <c r="J64" s="2" t="s">
        <v>29</v>
      </c>
      <c r="K64" s="2" t="s">
        <v>7</v>
      </c>
      <c r="L64" t="str">
        <f t="shared" si="0"/>
        <v>Mar</v>
      </c>
      <c r="M64" t="str">
        <f t="shared" si="1"/>
        <v>low</v>
      </c>
    </row>
    <row r="65" spans="1:13">
      <c r="A65" s="1" t="s">
        <v>150</v>
      </c>
      <c r="B65" s="2" t="s">
        <v>45</v>
      </c>
      <c r="C65" s="2">
        <v>32</v>
      </c>
      <c r="D65" s="2" t="s">
        <v>2</v>
      </c>
      <c r="E65" s="2" t="s">
        <v>3</v>
      </c>
      <c r="F65" s="2">
        <v>21131</v>
      </c>
      <c r="G65" s="2" t="s">
        <v>17</v>
      </c>
      <c r="H65" s="2">
        <v>3672</v>
      </c>
      <c r="I65" s="2" t="s">
        <v>151</v>
      </c>
      <c r="J65" s="2" t="s">
        <v>6</v>
      </c>
      <c r="K65" s="2" t="s">
        <v>26</v>
      </c>
      <c r="L65" t="str">
        <f t="shared" si="0"/>
        <v>Mar</v>
      </c>
      <c r="M65" t="str">
        <f t="shared" si="1"/>
        <v>High</v>
      </c>
    </row>
    <row r="66" spans="1:13">
      <c r="A66" s="1" t="s">
        <v>152</v>
      </c>
      <c r="B66" s="2" t="s">
        <v>57</v>
      </c>
      <c r="C66" s="2">
        <v>54</v>
      </c>
      <c r="D66" s="2" t="s">
        <v>2</v>
      </c>
      <c r="E66" s="2" t="s">
        <v>10</v>
      </c>
      <c r="F66" s="2">
        <v>23874</v>
      </c>
      <c r="G66" s="2" t="s">
        <v>4</v>
      </c>
      <c r="H66" s="2">
        <v>3452</v>
      </c>
      <c r="I66" s="2" t="s">
        <v>153</v>
      </c>
      <c r="J66" s="2" t="s">
        <v>6</v>
      </c>
      <c r="K66" s="2" t="s">
        <v>26</v>
      </c>
      <c r="L66" t="str">
        <f t="shared" si="0"/>
        <v>Mar</v>
      </c>
      <c r="M66" t="str">
        <f t="shared" si="1"/>
        <v>High</v>
      </c>
    </row>
    <row r="67" spans="1:13">
      <c r="A67" s="1" t="s">
        <v>154</v>
      </c>
      <c r="B67" s="2" t="s">
        <v>20</v>
      </c>
      <c r="C67" s="2">
        <v>48</v>
      </c>
      <c r="D67" s="2" t="s">
        <v>2</v>
      </c>
      <c r="E67" s="2" t="s">
        <v>16</v>
      </c>
      <c r="F67" s="2">
        <v>6891</v>
      </c>
      <c r="G67" s="2" t="s">
        <v>17</v>
      </c>
      <c r="H67" s="2">
        <v>4115</v>
      </c>
      <c r="I67" s="2" t="s">
        <v>155</v>
      </c>
      <c r="J67" s="2" t="s">
        <v>6</v>
      </c>
      <c r="K67" s="2" t="s">
        <v>26</v>
      </c>
      <c r="L67" t="str">
        <f t="shared" ref="L67:L130" si="2">TEXT(I67,"mmm")</f>
        <v>Mar</v>
      </c>
      <c r="M67" t="str">
        <f t="shared" si="1"/>
        <v>low</v>
      </c>
    </row>
    <row r="68" spans="1:13">
      <c r="A68" s="1" t="s">
        <v>156</v>
      </c>
      <c r="B68" s="2" t="s">
        <v>78</v>
      </c>
      <c r="C68" s="2">
        <v>24</v>
      </c>
      <c r="D68" s="2" t="s">
        <v>2</v>
      </c>
      <c r="E68" s="2" t="s">
        <v>16</v>
      </c>
      <c r="F68" s="2">
        <v>9786</v>
      </c>
      <c r="G68" s="2" t="s">
        <v>4</v>
      </c>
      <c r="H68" s="2">
        <v>4004</v>
      </c>
      <c r="I68" s="2" t="s">
        <v>157</v>
      </c>
      <c r="J68" s="2" t="s">
        <v>13</v>
      </c>
      <c r="K68" s="2" t="s">
        <v>26</v>
      </c>
      <c r="L68" t="str">
        <f t="shared" si="2"/>
        <v>Mar</v>
      </c>
      <c r="M68" t="str">
        <f t="shared" ref="M68:M131" si="3">IF(F68&lt;=10000,"low","High")</f>
        <v>low</v>
      </c>
    </row>
    <row r="69" spans="1:13">
      <c r="A69" s="1" t="s">
        <v>158</v>
      </c>
      <c r="B69" s="2" t="s">
        <v>48</v>
      </c>
      <c r="C69" s="2">
        <v>28</v>
      </c>
      <c r="D69" s="2" t="s">
        <v>2</v>
      </c>
      <c r="E69" s="2" t="s">
        <v>3</v>
      </c>
      <c r="F69" s="2">
        <v>22454</v>
      </c>
      <c r="G69" s="2" t="s">
        <v>4</v>
      </c>
      <c r="H69" s="2">
        <v>3456</v>
      </c>
      <c r="I69" s="2" t="s">
        <v>159</v>
      </c>
      <c r="J69" s="2" t="s">
        <v>22</v>
      </c>
      <c r="K69" s="2" t="s">
        <v>26</v>
      </c>
      <c r="L69" t="str">
        <f t="shared" si="2"/>
        <v>Mar</v>
      </c>
      <c r="M69" t="str">
        <f t="shared" si="3"/>
        <v>High</v>
      </c>
    </row>
    <row r="70" spans="1:13">
      <c r="A70" s="1" t="s">
        <v>160</v>
      </c>
      <c r="B70" s="2" t="s">
        <v>78</v>
      </c>
      <c r="C70" s="2">
        <v>24</v>
      </c>
      <c r="D70" s="2" t="s">
        <v>2</v>
      </c>
      <c r="E70" s="2" t="s">
        <v>10</v>
      </c>
      <c r="F70" s="2">
        <v>16519</v>
      </c>
      <c r="G70" s="2" t="s">
        <v>17</v>
      </c>
      <c r="H70" s="2">
        <v>2952</v>
      </c>
      <c r="I70" s="2" t="s">
        <v>161</v>
      </c>
      <c r="J70" s="2" t="s">
        <v>22</v>
      </c>
      <c r="K70" s="2" t="s">
        <v>7</v>
      </c>
      <c r="L70" t="str">
        <f t="shared" si="2"/>
        <v>Mar</v>
      </c>
      <c r="M70" t="str">
        <f t="shared" si="3"/>
        <v>High</v>
      </c>
    </row>
    <row r="71" spans="1:13">
      <c r="A71" s="1" t="s">
        <v>162</v>
      </c>
      <c r="B71" s="2" t="s">
        <v>57</v>
      </c>
      <c r="C71" s="2">
        <v>54</v>
      </c>
      <c r="D71" s="2" t="s">
        <v>34</v>
      </c>
      <c r="E71" s="2" t="s">
        <v>10</v>
      </c>
      <c r="F71" s="2">
        <v>16558</v>
      </c>
      <c r="G71" s="2" t="s">
        <v>11</v>
      </c>
      <c r="H71" s="2">
        <v>3542</v>
      </c>
      <c r="I71" s="2" t="s">
        <v>163</v>
      </c>
      <c r="J71" s="2" t="s">
        <v>13</v>
      </c>
      <c r="K71" s="2" t="s">
        <v>7</v>
      </c>
      <c r="L71" t="str">
        <f t="shared" si="2"/>
        <v>Mar</v>
      </c>
      <c r="M71" t="str">
        <f t="shared" si="3"/>
        <v>High</v>
      </c>
    </row>
    <row r="72" spans="1:13">
      <c r="A72" s="1" t="s">
        <v>164</v>
      </c>
      <c r="B72" s="2" t="s">
        <v>33</v>
      </c>
      <c r="C72" s="2">
        <v>25</v>
      </c>
      <c r="D72" s="2" t="s">
        <v>2</v>
      </c>
      <c r="E72" s="2" t="s">
        <v>10</v>
      </c>
      <c r="F72" s="2">
        <v>14822</v>
      </c>
      <c r="G72" s="2" t="s">
        <v>17</v>
      </c>
      <c r="H72" s="2">
        <v>1165</v>
      </c>
      <c r="I72" s="2" t="s">
        <v>165</v>
      </c>
      <c r="J72" s="2" t="s">
        <v>22</v>
      </c>
      <c r="K72" s="2" t="s">
        <v>7</v>
      </c>
      <c r="L72" t="str">
        <f t="shared" si="2"/>
        <v>Mar</v>
      </c>
      <c r="M72" t="str">
        <f t="shared" si="3"/>
        <v>High</v>
      </c>
    </row>
    <row r="73" spans="1:13">
      <c r="A73" s="1" t="s">
        <v>166</v>
      </c>
      <c r="B73" s="2" t="s">
        <v>78</v>
      </c>
      <c r="C73" s="2">
        <v>24</v>
      </c>
      <c r="D73" s="2" t="s">
        <v>34</v>
      </c>
      <c r="E73" s="2" t="s">
        <v>3</v>
      </c>
      <c r="F73" s="2">
        <v>5897</v>
      </c>
      <c r="G73" s="2" t="s">
        <v>11</v>
      </c>
      <c r="H73" s="2">
        <v>3494</v>
      </c>
      <c r="I73" s="2" t="s">
        <v>167</v>
      </c>
      <c r="J73" s="2" t="s">
        <v>22</v>
      </c>
      <c r="K73" s="2" t="s">
        <v>7</v>
      </c>
      <c r="L73" t="str">
        <f t="shared" si="2"/>
        <v>Mar</v>
      </c>
      <c r="M73" t="str">
        <f t="shared" si="3"/>
        <v>low</v>
      </c>
    </row>
    <row r="74" spans="1:13">
      <c r="A74" s="1" t="s">
        <v>168</v>
      </c>
      <c r="B74" s="2" t="s">
        <v>20</v>
      </c>
      <c r="C74" s="2">
        <v>48</v>
      </c>
      <c r="D74" s="2" t="s">
        <v>34</v>
      </c>
      <c r="E74" s="2" t="s">
        <v>16</v>
      </c>
      <c r="F74" s="2">
        <v>18497</v>
      </c>
      <c r="G74" s="2" t="s">
        <v>11</v>
      </c>
      <c r="H74" s="2">
        <v>1004</v>
      </c>
      <c r="I74" s="2" t="s">
        <v>169</v>
      </c>
      <c r="J74" s="2" t="s">
        <v>6</v>
      </c>
      <c r="K74" s="2" t="s">
        <v>7</v>
      </c>
      <c r="L74" t="str">
        <f t="shared" si="2"/>
        <v>Mar</v>
      </c>
      <c r="M74" t="str">
        <f t="shared" si="3"/>
        <v>High</v>
      </c>
    </row>
    <row r="75" spans="1:13">
      <c r="A75" s="1" t="s">
        <v>170</v>
      </c>
      <c r="B75" s="2" t="s">
        <v>45</v>
      </c>
      <c r="C75" s="2">
        <v>32</v>
      </c>
      <c r="D75" s="2" t="s">
        <v>34</v>
      </c>
      <c r="E75" s="2" t="s">
        <v>16</v>
      </c>
      <c r="F75" s="2">
        <v>13108</v>
      </c>
      <c r="G75" s="2" t="s">
        <v>4</v>
      </c>
      <c r="H75" s="2">
        <v>4508</v>
      </c>
      <c r="I75" s="2" t="s">
        <v>171</v>
      </c>
      <c r="J75" s="2" t="s">
        <v>22</v>
      </c>
      <c r="K75" s="2" t="s">
        <v>26</v>
      </c>
      <c r="L75" t="str">
        <f t="shared" si="2"/>
        <v>Mar</v>
      </c>
      <c r="M75" t="str">
        <f t="shared" si="3"/>
        <v>High</v>
      </c>
    </row>
    <row r="76" spans="1:13">
      <c r="A76" s="1" t="s">
        <v>172</v>
      </c>
      <c r="B76" s="2" t="s">
        <v>15</v>
      </c>
      <c r="C76" s="2">
        <v>55</v>
      </c>
      <c r="D76" s="2" t="s">
        <v>34</v>
      </c>
      <c r="E76" s="2" t="s">
        <v>10</v>
      </c>
      <c r="F76" s="2">
        <v>22959</v>
      </c>
      <c r="G76" s="2" t="s">
        <v>17</v>
      </c>
      <c r="H76" s="2">
        <v>4785</v>
      </c>
      <c r="I76" s="2" t="s">
        <v>173</v>
      </c>
      <c r="J76" s="2" t="s">
        <v>29</v>
      </c>
      <c r="K76" s="2" t="s">
        <v>7</v>
      </c>
      <c r="L76" t="str">
        <f t="shared" si="2"/>
        <v>Mar</v>
      </c>
      <c r="M76" t="str">
        <f t="shared" si="3"/>
        <v>High</v>
      </c>
    </row>
    <row r="77" spans="1:13">
      <c r="A77" s="1" t="s">
        <v>174</v>
      </c>
      <c r="B77" s="2" t="s">
        <v>78</v>
      </c>
      <c r="C77" s="2">
        <v>24</v>
      </c>
      <c r="D77" s="2" t="s">
        <v>2</v>
      </c>
      <c r="E77" s="2" t="s">
        <v>10</v>
      </c>
      <c r="F77" s="2">
        <v>23314</v>
      </c>
      <c r="G77" s="2" t="s">
        <v>4</v>
      </c>
      <c r="H77" s="2">
        <v>1524</v>
      </c>
      <c r="I77" s="2" t="s">
        <v>175</v>
      </c>
      <c r="J77" s="2" t="s">
        <v>22</v>
      </c>
      <c r="K77" s="2" t="s">
        <v>26</v>
      </c>
      <c r="L77" t="str">
        <f t="shared" si="2"/>
        <v>Mar</v>
      </c>
      <c r="M77" t="str">
        <f t="shared" si="3"/>
        <v>High</v>
      </c>
    </row>
    <row r="78" spans="1:13">
      <c r="A78" s="1" t="s">
        <v>176</v>
      </c>
      <c r="B78" s="2" t="s">
        <v>15</v>
      </c>
      <c r="C78" s="2">
        <v>55</v>
      </c>
      <c r="D78" s="2" t="s">
        <v>2</v>
      </c>
      <c r="E78" s="2" t="s">
        <v>10</v>
      </c>
      <c r="F78" s="2">
        <v>24633</v>
      </c>
      <c r="G78" s="2" t="s">
        <v>17</v>
      </c>
      <c r="H78" s="2">
        <v>2091</v>
      </c>
      <c r="I78" s="2" t="s">
        <v>177</v>
      </c>
      <c r="J78" s="2" t="s">
        <v>6</v>
      </c>
      <c r="K78" s="2" t="s">
        <v>26</v>
      </c>
      <c r="L78" t="str">
        <f t="shared" si="2"/>
        <v>Mar</v>
      </c>
      <c r="M78" t="str">
        <f t="shared" si="3"/>
        <v>High</v>
      </c>
    </row>
    <row r="79" spans="1:13">
      <c r="A79" s="1" t="s">
        <v>178</v>
      </c>
      <c r="B79" s="2" t="s">
        <v>9</v>
      </c>
      <c r="C79" s="2">
        <v>51</v>
      </c>
      <c r="D79" s="2" t="s">
        <v>2</v>
      </c>
      <c r="E79" s="2" t="s">
        <v>3</v>
      </c>
      <c r="F79" s="2">
        <v>5739</v>
      </c>
      <c r="G79" s="2" t="s">
        <v>17</v>
      </c>
      <c r="H79" s="2">
        <v>3654</v>
      </c>
      <c r="I79" s="2" t="s">
        <v>179</v>
      </c>
      <c r="J79" s="2" t="s">
        <v>6</v>
      </c>
      <c r="K79" s="2" t="s">
        <v>7</v>
      </c>
      <c r="L79" t="str">
        <f t="shared" si="2"/>
        <v>Mar</v>
      </c>
      <c r="M79" t="str">
        <f t="shared" si="3"/>
        <v>low</v>
      </c>
    </row>
    <row r="80" spans="1:13">
      <c r="A80" s="1" t="s">
        <v>180</v>
      </c>
      <c r="B80" s="2" t="s">
        <v>78</v>
      </c>
      <c r="C80" s="2">
        <v>24</v>
      </c>
      <c r="D80" s="2" t="s">
        <v>2</v>
      </c>
      <c r="E80" s="2" t="s">
        <v>10</v>
      </c>
      <c r="F80" s="2">
        <v>22131</v>
      </c>
      <c r="G80" s="2" t="s">
        <v>4</v>
      </c>
      <c r="H80" s="2">
        <v>2503</v>
      </c>
      <c r="I80" s="2" t="s">
        <v>181</v>
      </c>
      <c r="J80" s="2" t="s">
        <v>13</v>
      </c>
      <c r="K80" s="2" t="s">
        <v>26</v>
      </c>
      <c r="L80" t="str">
        <f t="shared" si="2"/>
        <v>Mar</v>
      </c>
      <c r="M80" t="str">
        <f t="shared" si="3"/>
        <v>High</v>
      </c>
    </row>
    <row r="81" spans="1:13">
      <c r="A81" s="1" t="s">
        <v>182</v>
      </c>
      <c r="B81" s="2" t="s">
        <v>9</v>
      </c>
      <c r="C81" s="2">
        <v>51</v>
      </c>
      <c r="D81" s="2" t="s">
        <v>2</v>
      </c>
      <c r="E81" s="2" t="s">
        <v>16</v>
      </c>
      <c r="F81" s="2">
        <v>22408</v>
      </c>
      <c r="G81" s="2" t="s">
        <v>17</v>
      </c>
      <c r="H81" s="2">
        <v>2996</v>
      </c>
      <c r="I81" s="2" t="s">
        <v>183</v>
      </c>
      <c r="J81" s="2" t="s">
        <v>22</v>
      </c>
      <c r="K81" s="2" t="s">
        <v>7</v>
      </c>
      <c r="L81" t="str">
        <f t="shared" si="2"/>
        <v>Mar</v>
      </c>
      <c r="M81" t="str">
        <f t="shared" si="3"/>
        <v>High</v>
      </c>
    </row>
    <row r="82" spans="1:13">
      <c r="A82" s="1" t="s">
        <v>184</v>
      </c>
      <c r="B82" s="2" t="s">
        <v>20</v>
      </c>
      <c r="C82" s="2">
        <v>48</v>
      </c>
      <c r="D82" s="2" t="s">
        <v>34</v>
      </c>
      <c r="E82" s="2" t="s">
        <v>16</v>
      </c>
      <c r="F82" s="2">
        <v>4535</v>
      </c>
      <c r="G82" s="2" t="s">
        <v>17</v>
      </c>
      <c r="H82" s="2">
        <v>4693</v>
      </c>
      <c r="I82" s="2" t="s">
        <v>185</v>
      </c>
      <c r="J82" s="2" t="s">
        <v>22</v>
      </c>
      <c r="K82" s="2" t="s">
        <v>26</v>
      </c>
      <c r="L82" t="str">
        <f t="shared" si="2"/>
        <v>Mar</v>
      </c>
      <c r="M82" t="str">
        <f t="shared" si="3"/>
        <v>low</v>
      </c>
    </row>
    <row r="83" spans="1:13">
      <c r="A83" s="1" t="s">
        <v>186</v>
      </c>
      <c r="B83" s="2" t="s">
        <v>20</v>
      </c>
      <c r="C83" s="2">
        <v>48</v>
      </c>
      <c r="D83" s="2" t="s">
        <v>34</v>
      </c>
      <c r="E83" s="2" t="s">
        <v>10</v>
      </c>
      <c r="F83" s="2">
        <v>20831</v>
      </c>
      <c r="G83" s="2" t="s">
        <v>17</v>
      </c>
      <c r="H83" s="2">
        <v>1957</v>
      </c>
      <c r="I83" s="2" t="s">
        <v>187</v>
      </c>
      <c r="J83" s="2" t="s">
        <v>13</v>
      </c>
      <c r="K83" s="2" t="s">
        <v>7</v>
      </c>
      <c r="L83" t="str">
        <f t="shared" si="2"/>
        <v>Mar</v>
      </c>
      <c r="M83" t="str">
        <f t="shared" si="3"/>
        <v>High</v>
      </c>
    </row>
    <row r="84" spans="1:13">
      <c r="A84" s="1" t="s">
        <v>188</v>
      </c>
      <c r="B84" s="2" t="s">
        <v>57</v>
      </c>
      <c r="C84" s="2">
        <v>54</v>
      </c>
      <c r="D84" s="2" t="s">
        <v>2</v>
      </c>
      <c r="E84" s="2" t="s">
        <v>10</v>
      </c>
      <c r="F84" s="2">
        <v>18052</v>
      </c>
      <c r="G84" s="2" t="s">
        <v>4</v>
      </c>
      <c r="H84" s="2">
        <v>2584</v>
      </c>
      <c r="I84" s="2" t="s">
        <v>189</v>
      </c>
      <c r="J84" s="2" t="s">
        <v>6</v>
      </c>
      <c r="K84" s="2" t="s">
        <v>7</v>
      </c>
      <c r="L84" t="str">
        <f t="shared" si="2"/>
        <v>Mar</v>
      </c>
      <c r="M84" t="str">
        <f t="shared" si="3"/>
        <v>High</v>
      </c>
    </row>
    <row r="85" spans="1:13">
      <c r="A85" s="1" t="s">
        <v>190</v>
      </c>
      <c r="B85" s="2" t="s">
        <v>15</v>
      </c>
      <c r="C85" s="2">
        <v>55</v>
      </c>
      <c r="D85" s="2" t="s">
        <v>34</v>
      </c>
      <c r="E85" s="2" t="s">
        <v>3</v>
      </c>
      <c r="F85" s="2">
        <v>15763</v>
      </c>
      <c r="G85" s="2" t="s">
        <v>4</v>
      </c>
      <c r="H85" s="2">
        <v>2961</v>
      </c>
      <c r="I85" s="2" t="s">
        <v>191</v>
      </c>
      <c r="J85" s="2" t="s">
        <v>29</v>
      </c>
      <c r="K85" s="2" t="s">
        <v>7</v>
      </c>
      <c r="L85" t="str">
        <f t="shared" si="2"/>
        <v>Mar</v>
      </c>
      <c r="M85" t="str">
        <f t="shared" si="3"/>
        <v>High</v>
      </c>
    </row>
    <row r="86" spans="1:13">
      <c r="A86" s="1" t="s">
        <v>192</v>
      </c>
      <c r="B86" s="2" t="s">
        <v>78</v>
      </c>
      <c r="C86" s="2">
        <v>24</v>
      </c>
      <c r="D86" s="2" t="s">
        <v>34</v>
      </c>
      <c r="E86" s="2" t="s">
        <v>16</v>
      </c>
      <c r="F86" s="2">
        <v>8977</v>
      </c>
      <c r="G86" s="2" t="s">
        <v>4</v>
      </c>
      <c r="H86" s="2">
        <v>1548</v>
      </c>
      <c r="I86" s="2" t="s">
        <v>193</v>
      </c>
      <c r="J86" s="2" t="s">
        <v>29</v>
      </c>
      <c r="K86" s="2" t="s">
        <v>26</v>
      </c>
      <c r="L86" t="str">
        <f t="shared" si="2"/>
        <v>Mar</v>
      </c>
      <c r="M86" t="str">
        <f t="shared" si="3"/>
        <v>low</v>
      </c>
    </row>
    <row r="87" spans="1:13">
      <c r="A87" s="1" t="s">
        <v>194</v>
      </c>
      <c r="B87" s="2" t="s">
        <v>48</v>
      </c>
      <c r="C87" s="2">
        <v>28</v>
      </c>
      <c r="D87" s="2" t="s">
        <v>34</v>
      </c>
      <c r="E87" s="2" t="s">
        <v>3</v>
      </c>
      <c r="F87" s="2">
        <v>14257</v>
      </c>
      <c r="G87" s="2" t="s">
        <v>11</v>
      </c>
      <c r="H87" s="2">
        <v>2754</v>
      </c>
      <c r="I87" s="2" t="s">
        <v>195</v>
      </c>
      <c r="J87" s="2" t="s">
        <v>22</v>
      </c>
      <c r="K87" s="2" t="s">
        <v>7</v>
      </c>
      <c r="L87" t="str">
        <f t="shared" si="2"/>
        <v>Mar</v>
      </c>
      <c r="M87" t="str">
        <f t="shared" si="3"/>
        <v>High</v>
      </c>
    </row>
    <row r="88" spans="1:13">
      <c r="A88" s="1" t="s">
        <v>196</v>
      </c>
      <c r="B88" s="2" t="s">
        <v>9</v>
      </c>
      <c r="C88" s="2">
        <v>51</v>
      </c>
      <c r="D88" s="2" t="s">
        <v>2</v>
      </c>
      <c r="E88" s="2" t="s">
        <v>16</v>
      </c>
      <c r="F88" s="2">
        <v>14267</v>
      </c>
      <c r="G88" s="2" t="s">
        <v>4</v>
      </c>
      <c r="H88" s="2">
        <v>2185</v>
      </c>
      <c r="I88" s="2" t="s">
        <v>197</v>
      </c>
      <c r="J88" s="2" t="s">
        <v>22</v>
      </c>
      <c r="K88" s="2" t="s">
        <v>26</v>
      </c>
      <c r="L88" t="str">
        <f t="shared" si="2"/>
        <v>Mar</v>
      </c>
      <c r="M88" t="str">
        <f t="shared" si="3"/>
        <v>High</v>
      </c>
    </row>
    <row r="89" spans="1:13">
      <c r="A89" s="1" t="s">
        <v>198</v>
      </c>
      <c r="B89" s="2" t="s">
        <v>20</v>
      </c>
      <c r="C89" s="2">
        <v>48</v>
      </c>
      <c r="D89" s="2" t="s">
        <v>34</v>
      </c>
      <c r="E89" s="2" t="s">
        <v>3</v>
      </c>
      <c r="F89" s="2">
        <v>13371</v>
      </c>
      <c r="G89" s="2" t="s">
        <v>4</v>
      </c>
      <c r="H89" s="2">
        <v>4635</v>
      </c>
      <c r="I89" s="2" t="s">
        <v>199</v>
      </c>
      <c r="J89" s="2" t="s">
        <v>13</v>
      </c>
      <c r="K89" s="2" t="s">
        <v>7</v>
      </c>
      <c r="L89" t="str">
        <f t="shared" si="2"/>
        <v>Mar</v>
      </c>
      <c r="M89" t="str">
        <f t="shared" si="3"/>
        <v>High</v>
      </c>
    </row>
    <row r="90" spans="1:13">
      <c r="A90" s="1" t="s">
        <v>200</v>
      </c>
      <c r="B90" s="2" t="s">
        <v>9</v>
      </c>
      <c r="C90" s="2">
        <v>51</v>
      </c>
      <c r="D90" s="2" t="s">
        <v>2</v>
      </c>
      <c r="E90" s="2" t="s">
        <v>3</v>
      </c>
      <c r="F90" s="2">
        <v>5511</v>
      </c>
      <c r="G90" s="2" t="s">
        <v>4</v>
      </c>
      <c r="H90" s="2">
        <v>1203</v>
      </c>
      <c r="I90" s="2" t="s">
        <v>201</v>
      </c>
      <c r="J90" s="2" t="s">
        <v>22</v>
      </c>
      <c r="K90" s="2" t="s">
        <v>7</v>
      </c>
      <c r="L90" t="str">
        <f t="shared" si="2"/>
        <v>Mar</v>
      </c>
      <c r="M90" t="str">
        <f t="shared" si="3"/>
        <v>low</v>
      </c>
    </row>
    <row r="91" spans="1:13">
      <c r="A91" s="1" t="s">
        <v>202</v>
      </c>
      <c r="B91" s="2" t="s">
        <v>1</v>
      </c>
      <c r="C91" s="2">
        <v>51</v>
      </c>
      <c r="D91" s="2" t="s">
        <v>34</v>
      </c>
      <c r="E91" s="2" t="s">
        <v>10</v>
      </c>
      <c r="F91" s="2">
        <v>14109</v>
      </c>
      <c r="G91" s="2" t="s">
        <v>17</v>
      </c>
      <c r="H91" s="2">
        <v>4247</v>
      </c>
      <c r="I91" s="3" t="s">
        <v>203</v>
      </c>
      <c r="J91" s="2" t="s">
        <v>22</v>
      </c>
      <c r="K91" s="2" t="s">
        <v>26</v>
      </c>
      <c r="L91" t="str">
        <f t="shared" si="2"/>
        <v>Apr</v>
      </c>
      <c r="M91" t="str">
        <f t="shared" si="3"/>
        <v>High</v>
      </c>
    </row>
    <row r="92" spans="1:13">
      <c r="A92" s="1" t="s">
        <v>204</v>
      </c>
      <c r="B92" s="2" t="s">
        <v>9</v>
      </c>
      <c r="C92" s="2">
        <v>51</v>
      </c>
      <c r="D92" s="2" t="s">
        <v>2</v>
      </c>
      <c r="E92" s="2" t="s">
        <v>3</v>
      </c>
      <c r="F92" s="2">
        <v>10140</v>
      </c>
      <c r="G92" s="2" t="s">
        <v>11</v>
      </c>
      <c r="H92" s="2">
        <v>4731</v>
      </c>
      <c r="I92" s="2" t="s">
        <v>205</v>
      </c>
      <c r="J92" s="2" t="s">
        <v>13</v>
      </c>
      <c r="K92" s="2" t="s">
        <v>26</v>
      </c>
      <c r="L92" t="str">
        <f t="shared" si="2"/>
        <v>Apr</v>
      </c>
      <c r="M92" t="str">
        <f t="shared" si="3"/>
        <v>High</v>
      </c>
    </row>
    <row r="93" spans="1:13">
      <c r="A93" s="1" t="s">
        <v>206</v>
      </c>
      <c r="B93" s="2" t="s">
        <v>48</v>
      </c>
      <c r="C93" s="2">
        <v>28</v>
      </c>
      <c r="D93" s="2" t="s">
        <v>2</v>
      </c>
      <c r="E93" s="2" t="s">
        <v>10</v>
      </c>
      <c r="F93" s="2">
        <v>5552</v>
      </c>
      <c r="G93" s="2" t="s">
        <v>17</v>
      </c>
      <c r="H93" s="2">
        <v>4822</v>
      </c>
      <c r="I93" s="2" t="s">
        <v>207</v>
      </c>
      <c r="J93" s="2" t="s">
        <v>22</v>
      </c>
      <c r="K93" s="2" t="s">
        <v>26</v>
      </c>
      <c r="L93" t="str">
        <f t="shared" si="2"/>
        <v>Apr</v>
      </c>
      <c r="M93" t="str">
        <f t="shared" si="3"/>
        <v>low</v>
      </c>
    </row>
    <row r="94" spans="1:13">
      <c r="A94" s="1" t="s">
        <v>208</v>
      </c>
      <c r="B94" s="2" t="s">
        <v>9</v>
      </c>
      <c r="C94" s="2">
        <v>51</v>
      </c>
      <c r="D94" s="2" t="s">
        <v>2</v>
      </c>
      <c r="E94" s="2" t="s">
        <v>10</v>
      </c>
      <c r="F94" s="2">
        <v>6346</v>
      </c>
      <c r="G94" s="2" t="s">
        <v>4</v>
      </c>
      <c r="H94" s="2">
        <v>1287</v>
      </c>
      <c r="I94" s="2" t="s">
        <v>209</v>
      </c>
      <c r="J94" s="2" t="s">
        <v>29</v>
      </c>
      <c r="K94" s="2" t="s">
        <v>7</v>
      </c>
      <c r="L94" t="str">
        <f t="shared" si="2"/>
        <v>Apr</v>
      </c>
      <c r="M94" t="str">
        <f t="shared" si="3"/>
        <v>low</v>
      </c>
    </row>
    <row r="95" spans="1:13">
      <c r="A95" s="1" t="s">
        <v>210</v>
      </c>
      <c r="B95" s="2" t="s">
        <v>45</v>
      </c>
      <c r="C95" s="2">
        <v>32</v>
      </c>
      <c r="D95" s="2" t="s">
        <v>2</v>
      </c>
      <c r="E95" s="2" t="s">
        <v>16</v>
      </c>
      <c r="F95" s="2">
        <v>4589</v>
      </c>
      <c r="G95" s="2" t="s">
        <v>17</v>
      </c>
      <c r="H95" s="2">
        <v>1004</v>
      </c>
      <c r="I95" s="2" t="s">
        <v>211</v>
      </c>
      <c r="J95" s="2" t="s">
        <v>13</v>
      </c>
      <c r="K95" s="2" t="s">
        <v>7</v>
      </c>
      <c r="L95" t="str">
        <f t="shared" si="2"/>
        <v>Apr</v>
      </c>
      <c r="M95" t="str">
        <f t="shared" si="3"/>
        <v>low</v>
      </c>
    </row>
    <row r="96" spans="1:13">
      <c r="A96" s="1" t="s">
        <v>212</v>
      </c>
      <c r="B96" s="2" t="s">
        <v>78</v>
      </c>
      <c r="C96" s="2">
        <v>24</v>
      </c>
      <c r="D96" s="2" t="s">
        <v>34</v>
      </c>
      <c r="E96" s="2" t="s">
        <v>10</v>
      </c>
      <c r="F96" s="2">
        <v>15349</v>
      </c>
      <c r="G96" s="2" t="s">
        <v>17</v>
      </c>
      <c r="H96" s="2">
        <v>1853</v>
      </c>
      <c r="I96" s="2" t="s">
        <v>213</v>
      </c>
      <c r="J96" s="2" t="s">
        <v>22</v>
      </c>
      <c r="K96" s="2" t="s">
        <v>26</v>
      </c>
      <c r="L96" t="str">
        <f t="shared" si="2"/>
        <v>Apr</v>
      </c>
      <c r="M96" t="str">
        <f t="shared" si="3"/>
        <v>High</v>
      </c>
    </row>
    <row r="97" spans="1:13">
      <c r="A97" s="1" t="s">
        <v>214</v>
      </c>
      <c r="B97" s="2" t="s">
        <v>24</v>
      </c>
      <c r="C97" s="2">
        <v>23</v>
      </c>
      <c r="D97" s="2" t="s">
        <v>2</v>
      </c>
      <c r="E97" s="2" t="s">
        <v>10</v>
      </c>
      <c r="F97" s="2">
        <v>22538</v>
      </c>
      <c r="G97" s="2" t="s">
        <v>4</v>
      </c>
      <c r="H97" s="2">
        <v>693</v>
      </c>
      <c r="I97" s="2" t="s">
        <v>215</v>
      </c>
      <c r="J97" s="2" t="s">
        <v>29</v>
      </c>
      <c r="K97" s="2" t="s">
        <v>26</v>
      </c>
      <c r="L97" t="str">
        <f t="shared" si="2"/>
        <v>Apr</v>
      </c>
      <c r="M97" t="str">
        <f t="shared" si="3"/>
        <v>High</v>
      </c>
    </row>
    <row r="98" spans="1:13">
      <c r="A98" s="1" t="s">
        <v>216</v>
      </c>
      <c r="B98" s="2" t="s">
        <v>48</v>
      </c>
      <c r="C98" s="2">
        <v>28</v>
      </c>
      <c r="D98" s="2" t="s">
        <v>34</v>
      </c>
      <c r="E98" s="2" t="s">
        <v>10</v>
      </c>
      <c r="F98" s="2">
        <v>24978</v>
      </c>
      <c r="G98" s="2" t="s">
        <v>4</v>
      </c>
      <c r="H98" s="2">
        <v>2787</v>
      </c>
      <c r="I98" s="2" t="s">
        <v>217</v>
      </c>
      <c r="J98" s="2" t="s">
        <v>6</v>
      </c>
      <c r="K98" s="2" t="s">
        <v>7</v>
      </c>
      <c r="L98" t="str">
        <f t="shared" si="2"/>
        <v>Apr</v>
      </c>
      <c r="M98" t="str">
        <f t="shared" si="3"/>
        <v>High</v>
      </c>
    </row>
    <row r="99" spans="1:13">
      <c r="A99" s="1" t="s">
        <v>218</v>
      </c>
      <c r="B99" s="2" t="s">
        <v>48</v>
      </c>
      <c r="C99" s="2">
        <v>28</v>
      </c>
      <c r="D99" s="2" t="s">
        <v>2</v>
      </c>
      <c r="E99" s="2" t="s">
        <v>16</v>
      </c>
      <c r="F99" s="2">
        <v>24088</v>
      </c>
      <c r="G99" s="2" t="s">
        <v>4</v>
      </c>
      <c r="H99" s="2">
        <v>4728</v>
      </c>
      <c r="I99" s="2" t="s">
        <v>219</v>
      </c>
      <c r="J99" s="2" t="s">
        <v>13</v>
      </c>
      <c r="K99" s="2" t="s">
        <v>7</v>
      </c>
      <c r="L99" t="str">
        <f t="shared" si="2"/>
        <v>Apr</v>
      </c>
      <c r="M99" t="str">
        <f t="shared" si="3"/>
        <v>High</v>
      </c>
    </row>
    <row r="100" spans="1:13">
      <c r="A100" s="1" t="s">
        <v>220</v>
      </c>
      <c r="B100" s="2" t="s">
        <v>33</v>
      </c>
      <c r="C100" s="2">
        <v>25</v>
      </c>
      <c r="D100" s="2" t="s">
        <v>34</v>
      </c>
      <c r="E100" s="2" t="s">
        <v>3</v>
      </c>
      <c r="F100" s="2">
        <v>16851</v>
      </c>
      <c r="G100" s="2" t="s">
        <v>17</v>
      </c>
      <c r="H100" s="2">
        <v>3354</v>
      </c>
      <c r="I100" s="2" t="s">
        <v>221</v>
      </c>
      <c r="J100" s="2" t="s">
        <v>22</v>
      </c>
      <c r="K100" s="2" t="s">
        <v>7</v>
      </c>
      <c r="L100" t="str">
        <f t="shared" si="2"/>
        <v>Apr</v>
      </c>
      <c r="M100" t="str">
        <f t="shared" si="3"/>
        <v>High</v>
      </c>
    </row>
    <row r="101" spans="1:13">
      <c r="A101" s="1" t="s">
        <v>222</v>
      </c>
      <c r="B101" s="2" t="s">
        <v>48</v>
      </c>
      <c r="C101" s="2">
        <v>28</v>
      </c>
      <c r="D101" s="2" t="s">
        <v>2</v>
      </c>
      <c r="E101" s="2" t="s">
        <v>3</v>
      </c>
      <c r="F101" s="2">
        <v>10506</v>
      </c>
      <c r="G101" s="2" t="s">
        <v>17</v>
      </c>
      <c r="H101" s="2">
        <v>753</v>
      </c>
      <c r="I101" s="2" t="s">
        <v>223</v>
      </c>
      <c r="J101" s="2" t="s">
        <v>22</v>
      </c>
      <c r="K101" s="2" t="s">
        <v>26</v>
      </c>
      <c r="L101" t="str">
        <f t="shared" si="2"/>
        <v>Apr</v>
      </c>
      <c r="M101" t="str">
        <f t="shared" si="3"/>
        <v>High</v>
      </c>
    </row>
    <row r="102" spans="1:13">
      <c r="A102" s="1" t="s">
        <v>224</v>
      </c>
      <c r="B102" s="2" t="s">
        <v>9</v>
      </c>
      <c r="C102" s="2">
        <v>51</v>
      </c>
      <c r="D102" s="2" t="s">
        <v>2</v>
      </c>
      <c r="E102" s="2" t="s">
        <v>3</v>
      </c>
      <c r="F102" s="2">
        <v>5539</v>
      </c>
      <c r="G102" s="2" t="s">
        <v>4</v>
      </c>
      <c r="H102" s="2">
        <v>1308</v>
      </c>
      <c r="I102" s="2" t="s">
        <v>225</v>
      </c>
      <c r="J102" s="2" t="s">
        <v>29</v>
      </c>
      <c r="K102" s="2" t="s">
        <v>26</v>
      </c>
      <c r="L102" t="str">
        <f t="shared" si="2"/>
        <v>Apr</v>
      </c>
      <c r="M102" t="str">
        <f t="shared" si="3"/>
        <v>low</v>
      </c>
    </row>
    <row r="103" spans="1:13">
      <c r="A103" s="1" t="s">
        <v>226</v>
      </c>
      <c r="B103" s="2" t="s">
        <v>24</v>
      </c>
      <c r="C103" s="2">
        <v>23</v>
      </c>
      <c r="D103" s="2" t="s">
        <v>2</v>
      </c>
      <c r="E103" s="2" t="s">
        <v>16</v>
      </c>
      <c r="F103" s="2">
        <v>16649</v>
      </c>
      <c r="G103" s="2" t="s">
        <v>17</v>
      </c>
      <c r="H103" s="2">
        <v>688</v>
      </c>
      <c r="I103" s="2" t="s">
        <v>227</v>
      </c>
      <c r="J103" s="2" t="s">
        <v>13</v>
      </c>
      <c r="K103" s="2" t="s">
        <v>26</v>
      </c>
      <c r="L103" t="str">
        <f t="shared" si="2"/>
        <v>Apr</v>
      </c>
      <c r="M103" t="str">
        <f t="shared" si="3"/>
        <v>High</v>
      </c>
    </row>
    <row r="104" spans="1:13">
      <c r="A104" s="1" t="s">
        <v>228</v>
      </c>
      <c r="B104" s="2" t="s">
        <v>9</v>
      </c>
      <c r="C104" s="2">
        <v>51</v>
      </c>
      <c r="D104" s="2" t="s">
        <v>2</v>
      </c>
      <c r="E104" s="2" t="s">
        <v>16</v>
      </c>
      <c r="F104" s="2">
        <v>13339</v>
      </c>
      <c r="G104" s="2" t="s">
        <v>11</v>
      </c>
      <c r="H104" s="2">
        <v>3186</v>
      </c>
      <c r="I104" s="2" t="s">
        <v>229</v>
      </c>
      <c r="J104" s="2" t="s">
        <v>29</v>
      </c>
      <c r="K104" s="2" t="s">
        <v>7</v>
      </c>
      <c r="L104" t="str">
        <f t="shared" si="2"/>
        <v>Apr</v>
      </c>
      <c r="M104" t="str">
        <f t="shared" si="3"/>
        <v>High</v>
      </c>
    </row>
    <row r="105" spans="1:13">
      <c r="A105" s="1" t="s">
        <v>230</v>
      </c>
      <c r="B105" s="2" t="s">
        <v>78</v>
      </c>
      <c r="C105" s="2">
        <v>24</v>
      </c>
      <c r="D105" s="2" t="s">
        <v>2</v>
      </c>
      <c r="E105" s="2" t="s">
        <v>10</v>
      </c>
      <c r="F105" s="2">
        <v>10152</v>
      </c>
      <c r="G105" s="2" t="s">
        <v>11</v>
      </c>
      <c r="H105" s="2">
        <v>2392</v>
      </c>
      <c r="I105" s="2" t="s">
        <v>231</v>
      </c>
      <c r="J105" s="2" t="s">
        <v>22</v>
      </c>
      <c r="K105" s="2" t="s">
        <v>7</v>
      </c>
      <c r="L105" t="str">
        <f t="shared" si="2"/>
        <v>Apr</v>
      </c>
      <c r="M105" t="str">
        <f t="shared" si="3"/>
        <v>High</v>
      </c>
    </row>
    <row r="106" spans="1:13">
      <c r="A106" s="1" t="s">
        <v>232</v>
      </c>
      <c r="B106" s="2" t="s">
        <v>15</v>
      </c>
      <c r="C106" s="2">
        <v>55</v>
      </c>
      <c r="D106" s="2" t="s">
        <v>34</v>
      </c>
      <c r="E106" s="2" t="s">
        <v>10</v>
      </c>
      <c r="F106" s="2">
        <v>22091</v>
      </c>
      <c r="G106" s="2" t="s">
        <v>4</v>
      </c>
      <c r="H106" s="2">
        <v>4966</v>
      </c>
      <c r="I106" s="2" t="s">
        <v>233</v>
      </c>
      <c r="J106" s="2" t="s">
        <v>29</v>
      </c>
      <c r="K106" s="2" t="s">
        <v>7</v>
      </c>
      <c r="L106" t="str">
        <f t="shared" si="2"/>
        <v>Apr</v>
      </c>
      <c r="M106" t="str">
        <f t="shared" si="3"/>
        <v>High</v>
      </c>
    </row>
    <row r="107" spans="1:13">
      <c r="A107" s="1" t="s">
        <v>234</v>
      </c>
      <c r="B107" s="2" t="s">
        <v>45</v>
      </c>
      <c r="C107" s="2">
        <v>32</v>
      </c>
      <c r="D107" s="2" t="s">
        <v>2</v>
      </c>
      <c r="E107" s="2" t="s">
        <v>3</v>
      </c>
      <c r="F107" s="2">
        <v>22602</v>
      </c>
      <c r="G107" s="2" t="s">
        <v>4</v>
      </c>
      <c r="H107" s="2">
        <v>4212</v>
      </c>
      <c r="I107" s="2" t="s">
        <v>235</v>
      </c>
      <c r="J107" s="2" t="s">
        <v>29</v>
      </c>
      <c r="K107" s="2" t="s">
        <v>26</v>
      </c>
      <c r="L107" t="str">
        <f t="shared" si="2"/>
        <v>Apr</v>
      </c>
      <c r="M107" t="str">
        <f t="shared" si="3"/>
        <v>High</v>
      </c>
    </row>
    <row r="108" spans="1:13">
      <c r="A108" s="1" t="s">
        <v>236</v>
      </c>
      <c r="B108" s="2" t="s">
        <v>9</v>
      </c>
      <c r="C108" s="2">
        <v>51</v>
      </c>
      <c r="D108" s="2" t="s">
        <v>34</v>
      </c>
      <c r="E108" s="2" t="s">
        <v>10</v>
      </c>
      <c r="F108" s="2">
        <v>13819</v>
      </c>
      <c r="G108" s="2" t="s">
        <v>17</v>
      </c>
      <c r="H108" s="2">
        <v>4009</v>
      </c>
      <c r="I108" s="2" t="s">
        <v>237</v>
      </c>
      <c r="J108" s="2" t="s">
        <v>29</v>
      </c>
      <c r="K108" s="2" t="s">
        <v>7</v>
      </c>
      <c r="L108" t="str">
        <f t="shared" si="2"/>
        <v>Apr</v>
      </c>
      <c r="M108" t="str">
        <f t="shared" si="3"/>
        <v>High</v>
      </c>
    </row>
    <row r="109" spans="1:13">
      <c r="A109" s="1" t="s">
        <v>238</v>
      </c>
      <c r="B109" s="2" t="s">
        <v>57</v>
      </c>
      <c r="C109" s="2">
        <v>54</v>
      </c>
      <c r="D109" s="2" t="s">
        <v>2</v>
      </c>
      <c r="E109" s="2" t="s">
        <v>3</v>
      </c>
      <c r="F109" s="2">
        <v>8284</v>
      </c>
      <c r="G109" s="2" t="s">
        <v>11</v>
      </c>
      <c r="H109" s="2">
        <v>924</v>
      </c>
      <c r="I109" s="2" t="s">
        <v>239</v>
      </c>
      <c r="J109" s="2" t="s">
        <v>13</v>
      </c>
      <c r="K109" s="2" t="s">
        <v>7</v>
      </c>
      <c r="L109" t="str">
        <f t="shared" si="2"/>
        <v>Apr</v>
      </c>
      <c r="M109" t="str">
        <f t="shared" si="3"/>
        <v>low</v>
      </c>
    </row>
    <row r="110" spans="1:13">
      <c r="A110" s="1" t="s">
        <v>240</v>
      </c>
      <c r="B110" s="2" t="s">
        <v>15</v>
      </c>
      <c r="C110" s="2">
        <v>55</v>
      </c>
      <c r="D110" s="2" t="s">
        <v>34</v>
      </c>
      <c r="E110" s="2" t="s">
        <v>10</v>
      </c>
      <c r="F110" s="2">
        <v>11283</v>
      </c>
      <c r="G110" s="2" t="s">
        <v>11</v>
      </c>
      <c r="H110" s="2">
        <v>2897</v>
      </c>
      <c r="I110" s="2" t="s">
        <v>241</v>
      </c>
      <c r="J110" s="2" t="s">
        <v>6</v>
      </c>
      <c r="K110" s="2" t="s">
        <v>7</v>
      </c>
      <c r="L110" t="str">
        <f t="shared" si="2"/>
        <v>Apr</v>
      </c>
      <c r="M110" t="str">
        <f t="shared" si="3"/>
        <v>High</v>
      </c>
    </row>
    <row r="111" spans="1:13">
      <c r="A111" s="1" t="s">
        <v>242</v>
      </c>
      <c r="B111" s="2" t="s">
        <v>15</v>
      </c>
      <c r="C111" s="2">
        <v>55</v>
      </c>
      <c r="D111" s="2" t="s">
        <v>34</v>
      </c>
      <c r="E111" s="2" t="s">
        <v>10</v>
      </c>
      <c r="F111" s="2">
        <v>23449</v>
      </c>
      <c r="G111" s="2" t="s">
        <v>4</v>
      </c>
      <c r="H111" s="2">
        <v>1594</v>
      </c>
      <c r="I111" s="2" t="s">
        <v>243</v>
      </c>
      <c r="J111" s="2" t="s">
        <v>13</v>
      </c>
      <c r="K111" s="2" t="s">
        <v>7</v>
      </c>
      <c r="L111" t="str">
        <f t="shared" si="2"/>
        <v>Apr</v>
      </c>
      <c r="M111" t="str">
        <f t="shared" si="3"/>
        <v>High</v>
      </c>
    </row>
    <row r="112" spans="1:13">
      <c r="A112" s="1" t="s">
        <v>244</v>
      </c>
      <c r="B112" s="2" t="s">
        <v>33</v>
      </c>
      <c r="C112" s="2">
        <v>25</v>
      </c>
      <c r="D112" s="2" t="s">
        <v>2</v>
      </c>
      <c r="E112" s="2" t="s">
        <v>3</v>
      </c>
      <c r="F112" s="2">
        <v>6697</v>
      </c>
      <c r="G112" s="2" t="s">
        <v>17</v>
      </c>
      <c r="H112" s="2">
        <v>4650</v>
      </c>
      <c r="I112" s="2" t="s">
        <v>245</v>
      </c>
      <c r="J112" s="2" t="s">
        <v>22</v>
      </c>
      <c r="K112" s="2" t="s">
        <v>7</v>
      </c>
      <c r="L112" t="str">
        <f t="shared" si="2"/>
        <v>Apr</v>
      </c>
      <c r="M112" t="str">
        <f t="shared" si="3"/>
        <v>low</v>
      </c>
    </row>
    <row r="113" spans="1:13">
      <c r="A113" s="1" t="s">
        <v>246</v>
      </c>
      <c r="B113" s="2" t="s">
        <v>78</v>
      </c>
      <c r="C113" s="2">
        <v>24</v>
      </c>
      <c r="D113" s="2" t="s">
        <v>34</v>
      </c>
      <c r="E113" s="2" t="s">
        <v>10</v>
      </c>
      <c r="F113" s="2">
        <v>4303</v>
      </c>
      <c r="G113" s="2" t="s">
        <v>4</v>
      </c>
      <c r="H113" s="2">
        <v>3040</v>
      </c>
      <c r="I113" s="2" t="s">
        <v>247</v>
      </c>
      <c r="J113" s="2" t="s">
        <v>6</v>
      </c>
      <c r="K113" s="2" t="s">
        <v>7</v>
      </c>
      <c r="L113" t="str">
        <f t="shared" si="2"/>
        <v>Apr</v>
      </c>
      <c r="M113" t="str">
        <f t="shared" si="3"/>
        <v>low</v>
      </c>
    </row>
    <row r="114" spans="1:13">
      <c r="A114" s="1" t="s">
        <v>248</v>
      </c>
      <c r="B114" s="2" t="s">
        <v>20</v>
      </c>
      <c r="C114" s="2">
        <v>48</v>
      </c>
      <c r="D114" s="2" t="s">
        <v>2</v>
      </c>
      <c r="E114" s="2" t="s">
        <v>16</v>
      </c>
      <c r="F114" s="2">
        <v>18630</v>
      </c>
      <c r="G114" s="2" t="s">
        <v>17</v>
      </c>
      <c r="H114" s="2">
        <v>1118</v>
      </c>
      <c r="I114" s="2" t="s">
        <v>249</v>
      </c>
      <c r="J114" s="2" t="s">
        <v>29</v>
      </c>
      <c r="K114" s="2" t="s">
        <v>26</v>
      </c>
      <c r="L114" t="str">
        <f t="shared" si="2"/>
        <v>Apr</v>
      </c>
      <c r="M114" t="str">
        <f t="shared" si="3"/>
        <v>High</v>
      </c>
    </row>
    <row r="115" spans="1:13">
      <c r="A115" s="1" t="s">
        <v>250</v>
      </c>
      <c r="B115" s="2" t="s">
        <v>1</v>
      </c>
      <c r="C115" s="2">
        <v>51</v>
      </c>
      <c r="D115" s="2" t="s">
        <v>2</v>
      </c>
      <c r="E115" s="2" t="s">
        <v>10</v>
      </c>
      <c r="F115" s="2">
        <v>9037</v>
      </c>
      <c r="G115" s="2" t="s">
        <v>4</v>
      </c>
      <c r="H115" s="2">
        <v>632</v>
      </c>
      <c r="I115" s="3" t="s">
        <v>251</v>
      </c>
      <c r="J115" s="2" t="s">
        <v>29</v>
      </c>
      <c r="K115" s="2" t="s">
        <v>7</v>
      </c>
      <c r="L115" t="str">
        <f t="shared" si="2"/>
        <v>Apr</v>
      </c>
      <c r="M115" t="str">
        <f t="shared" si="3"/>
        <v>low</v>
      </c>
    </row>
    <row r="116" spans="1:13">
      <c r="A116" s="1" t="s">
        <v>252</v>
      </c>
      <c r="B116" s="2" t="s">
        <v>78</v>
      </c>
      <c r="C116" s="2">
        <v>24</v>
      </c>
      <c r="D116" s="2" t="s">
        <v>2</v>
      </c>
      <c r="E116" s="2" t="s">
        <v>10</v>
      </c>
      <c r="F116" s="2">
        <v>5079</v>
      </c>
      <c r="G116" s="2" t="s">
        <v>11</v>
      </c>
      <c r="H116" s="2">
        <v>1641</v>
      </c>
      <c r="I116" s="2" t="s">
        <v>253</v>
      </c>
      <c r="J116" s="2" t="s">
        <v>22</v>
      </c>
      <c r="K116" s="2" t="s">
        <v>7</v>
      </c>
      <c r="L116" t="str">
        <f t="shared" si="2"/>
        <v>Apr</v>
      </c>
      <c r="M116" t="str">
        <f t="shared" si="3"/>
        <v>low</v>
      </c>
    </row>
    <row r="117" spans="1:13">
      <c r="A117" s="1" t="s">
        <v>254</v>
      </c>
      <c r="B117" s="2" t="s">
        <v>57</v>
      </c>
      <c r="C117" s="2">
        <v>54</v>
      </c>
      <c r="D117" s="2" t="s">
        <v>2</v>
      </c>
      <c r="E117" s="2" t="s">
        <v>10</v>
      </c>
      <c r="F117" s="2">
        <v>3315</v>
      </c>
      <c r="G117" s="2" t="s">
        <v>11</v>
      </c>
      <c r="H117" s="2">
        <v>2761</v>
      </c>
      <c r="I117" s="2" t="s">
        <v>255</v>
      </c>
      <c r="J117" s="2" t="s">
        <v>29</v>
      </c>
      <c r="K117" s="2" t="s">
        <v>26</v>
      </c>
      <c r="L117" t="str">
        <f t="shared" si="2"/>
        <v>Apr</v>
      </c>
      <c r="M117" t="str">
        <f t="shared" si="3"/>
        <v>low</v>
      </c>
    </row>
    <row r="118" spans="1:13">
      <c r="A118" s="1" t="s">
        <v>256</v>
      </c>
      <c r="B118" s="2" t="s">
        <v>20</v>
      </c>
      <c r="C118" s="2">
        <v>48</v>
      </c>
      <c r="D118" s="2" t="s">
        <v>2</v>
      </c>
      <c r="E118" s="2" t="s">
        <v>10</v>
      </c>
      <c r="F118" s="2">
        <v>12063</v>
      </c>
      <c r="G118" s="2" t="s">
        <v>11</v>
      </c>
      <c r="H118" s="2">
        <v>2390</v>
      </c>
      <c r="I118" s="2" t="s">
        <v>257</v>
      </c>
      <c r="J118" s="2" t="s">
        <v>13</v>
      </c>
      <c r="K118" s="2" t="s">
        <v>26</v>
      </c>
      <c r="L118" t="str">
        <f t="shared" si="2"/>
        <v>Apr</v>
      </c>
      <c r="M118" t="str">
        <f t="shared" si="3"/>
        <v>High</v>
      </c>
    </row>
    <row r="119" spans="1:13">
      <c r="A119" s="1" t="s">
        <v>258</v>
      </c>
      <c r="B119" s="2" t="s">
        <v>33</v>
      </c>
      <c r="C119" s="2">
        <v>25</v>
      </c>
      <c r="D119" s="2" t="s">
        <v>34</v>
      </c>
      <c r="E119" s="2" t="s">
        <v>3</v>
      </c>
      <c r="F119" s="2">
        <v>24670</v>
      </c>
      <c r="G119" s="2" t="s">
        <v>11</v>
      </c>
      <c r="H119" s="2">
        <v>3924</v>
      </c>
      <c r="I119" s="2" t="s">
        <v>259</v>
      </c>
      <c r="J119" s="2" t="s">
        <v>6</v>
      </c>
      <c r="K119" s="2" t="s">
        <v>7</v>
      </c>
      <c r="L119" t="str">
        <f t="shared" si="2"/>
        <v>Apr</v>
      </c>
      <c r="M119" t="str">
        <f t="shared" si="3"/>
        <v>High</v>
      </c>
    </row>
    <row r="120" spans="1:13">
      <c r="A120" s="1" t="s">
        <v>260</v>
      </c>
      <c r="B120" s="2" t="s">
        <v>33</v>
      </c>
      <c r="C120" s="2">
        <v>25</v>
      </c>
      <c r="D120" s="2" t="s">
        <v>2</v>
      </c>
      <c r="E120" s="2" t="s">
        <v>16</v>
      </c>
      <c r="F120" s="2">
        <v>16957</v>
      </c>
      <c r="G120" s="2" t="s">
        <v>11</v>
      </c>
      <c r="H120" s="2">
        <v>3791</v>
      </c>
      <c r="I120" s="2" t="s">
        <v>261</v>
      </c>
      <c r="J120" s="2" t="s">
        <v>13</v>
      </c>
      <c r="K120" s="2" t="s">
        <v>7</v>
      </c>
      <c r="L120" t="str">
        <f t="shared" si="2"/>
        <v>Apr</v>
      </c>
      <c r="M120" t="str">
        <f t="shared" si="3"/>
        <v>High</v>
      </c>
    </row>
    <row r="121" spans="1:13">
      <c r="A121" s="1" t="s">
        <v>262</v>
      </c>
      <c r="B121" s="2" t="s">
        <v>57</v>
      </c>
      <c r="C121" s="2">
        <v>54</v>
      </c>
      <c r="D121" s="2" t="s">
        <v>34</v>
      </c>
      <c r="E121" s="2" t="s">
        <v>10</v>
      </c>
      <c r="F121" s="2">
        <v>18439</v>
      </c>
      <c r="G121" s="2" t="s">
        <v>4</v>
      </c>
      <c r="H121" s="2">
        <v>3574</v>
      </c>
      <c r="I121" s="2" t="s">
        <v>263</v>
      </c>
      <c r="J121" s="2" t="s">
        <v>22</v>
      </c>
      <c r="K121" s="2" t="s">
        <v>26</v>
      </c>
      <c r="L121" t="str">
        <f t="shared" si="2"/>
        <v>May</v>
      </c>
      <c r="M121" t="str">
        <f t="shared" si="3"/>
        <v>High</v>
      </c>
    </row>
    <row r="122" spans="1:13">
      <c r="A122" s="1" t="s">
        <v>264</v>
      </c>
      <c r="B122" s="2" t="s">
        <v>57</v>
      </c>
      <c r="C122" s="2">
        <v>54</v>
      </c>
      <c r="D122" s="2" t="s">
        <v>34</v>
      </c>
      <c r="E122" s="2" t="s">
        <v>10</v>
      </c>
      <c r="F122" s="2">
        <v>12892</v>
      </c>
      <c r="G122" s="2" t="s">
        <v>11</v>
      </c>
      <c r="H122" s="2">
        <v>4516</v>
      </c>
      <c r="I122" s="2" t="s">
        <v>265</v>
      </c>
      <c r="J122" s="2" t="s">
        <v>22</v>
      </c>
      <c r="K122" s="2" t="s">
        <v>26</v>
      </c>
      <c r="L122" t="str">
        <f t="shared" si="2"/>
        <v>May</v>
      </c>
      <c r="M122" t="str">
        <f t="shared" si="3"/>
        <v>High</v>
      </c>
    </row>
    <row r="123" spans="1:13">
      <c r="A123" s="1" t="s">
        <v>266</v>
      </c>
      <c r="B123" s="2" t="s">
        <v>20</v>
      </c>
      <c r="C123" s="2">
        <v>48</v>
      </c>
      <c r="D123" s="2" t="s">
        <v>2</v>
      </c>
      <c r="E123" s="2" t="s">
        <v>3</v>
      </c>
      <c r="F123" s="2">
        <v>24369</v>
      </c>
      <c r="G123" s="2" t="s">
        <v>11</v>
      </c>
      <c r="H123" s="2">
        <v>782</v>
      </c>
      <c r="I123" s="2" t="s">
        <v>267</v>
      </c>
      <c r="J123" s="2" t="s">
        <v>13</v>
      </c>
      <c r="K123" s="2" t="s">
        <v>26</v>
      </c>
      <c r="L123" t="str">
        <f t="shared" si="2"/>
        <v>May</v>
      </c>
      <c r="M123" t="str">
        <f t="shared" si="3"/>
        <v>High</v>
      </c>
    </row>
    <row r="124" spans="1:13">
      <c r="A124" s="1" t="s">
        <v>268</v>
      </c>
      <c r="B124" s="2" t="s">
        <v>20</v>
      </c>
      <c r="C124" s="2">
        <v>48</v>
      </c>
      <c r="D124" s="2" t="s">
        <v>2</v>
      </c>
      <c r="E124" s="2" t="s">
        <v>16</v>
      </c>
      <c r="F124" s="2">
        <v>20554</v>
      </c>
      <c r="G124" s="2" t="s">
        <v>11</v>
      </c>
      <c r="H124" s="2">
        <v>4393</v>
      </c>
      <c r="I124" s="2" t="s">
        <v>269</v>
      </c>
      <c r="J124" s="2" t="s">
        <v>13</v>
      </c>
      <c r="K124" s="2" t="s">
        <v>7</v>
      </c>
      <c r="L124" t="str">
        <f t="shared" si="2"/>
        <v>May</v>
      </c>
      <c r="M124" t="str">
        <f t="shared" si="3"/>
        <v>High</v>
      </c>
    </row>
    <row r="125" spans="1:13">
      <c r="A125" s="1" t="s">
        <v>270</v>
      </c>
      <c r="B125" s="2" t="s">
        <v>20</v>
      </c>
      <c r="C125" s="2">
        <v>48</v>
      </c>
      <c r="D125" s="2" t="s">
        <v>2</v>
      </c>
      <c r="E125" s="2" t="s">
        <v>10</v>
      </c>
      <c r="F125" s="2">
        <v>9084</v>
      </c>
      <c r="G125" s="2" t="s">
        <v>4</v>
      </c>
      <c r="H125" s="2">
        <v>685</v>
      </c>
      <c r="I125" s="2" t="s">
        <v>271</v>
      </c>
      <c r="J125" s="2" t="s">
        <v>6</v>
      </c>
      <c r="K125" s="2" t="s">
        <v>7</v>
      </c>
      <c r="L125" t="str">
        <f t="shared" si="2"/>
        <v>May</v>
      </c>
      <c r="M125" t="str">
        <f t="shared" si="3"/>
        <v>low</v>
      </c>
    </row>
    <row r="126" spans="1:13">
      <c r="A126" s="1" t="s">
        <v>272</v>
      </c>
      <c r="B126" s="2" t="s">
        <v>48</v>
      </c>
      <c r="C126" s="2">
        <v>28</v>
      </c>
      <c r="D126" s="2" t="s">
        <v>2</v>
      </c>
      <c r="E126" s="2" t="s">
        <v>3</v>
      </c>
      <c r="F126" s="2">
        <v>16157</v>
      </c>
      <c r="G126" s="2" t="s">
        <v>17</v>
      </c>
      <c r="H126" s="2">
        <v>1767</v>
      </c>
      <c r="I126" s="2" t="s">
        <v>273</v>
      </c>
      <c r="J126" s="2" t="s">
        <v>13</v>
      </c>
      <c r="K126" s="2" t="s">
        <v>26</v>
      </c>
      <c r="L126" t="str">
        <f t="shared" si="2"/>
        <v>May</v>
      </c>
      <c r="M126" t="str">
        <f t="shared" si="3"/>
        <v>High</v>
      </c>
    </row>
    <row r="127" spans="1:13">
      <c r="A127" s="1" t="s">
        <v>274</v>
      </c>
      <c r="B127" s="2" t="s">
        <v>45</v>
      </c>
      <c r="C127" s="2">
        <v>32</v>
      </c>
      <c r="D127" s="2" t="s">
        <v>34</v>
      </c>
      <c r="E127" s="2" t="s">
        <v>16</v>
      </c>
      <c r="F127" s="2">
        <v>22674</v>
      </c>
      <c r="G127" s="2" t="s">
        <v>11</v>
      </c>
      <c r="H127" s="2">
        <v>2828</v>
      </c>
      <c r="I127" s="2" t="s">
        <v>275</v>
      </c>
      <c r="J127" s="2" t="s">
        <v>29</v>
      </c>
      <c r="K127" s="2" t="s">
        <v>26</v>
      </c>
      <c r="L127" t="str">
        <f t="shared" si="2"/>
        <v>May</v>
      </c>
      <c r="M127" t="str">
        <f t="shared" si="3"/>
        <v>High</v>
      </c>
    </row>
    <row r="128" spans="1:13">
      <c r="A128" s="1" t="s">
        <v>276</v>
      </c>
      <c r="B128" s="2" t="s">
        <v>24</v>
      </c>
      <c r="C128" s="2">
        <v>23</v>
      </c>
      <c r="D128" s="2" t="s">
        <v>2</v>
      </c>
      <c r="E128" s="2" t="s">
        <v>16</v>
      </c>
      <c r="F128" s="2">
        <v>12491</v>
      </c>
      <c r="G128" s="2" t="s">
        <v>17</v>
      </c>
      <c r="H128" s="2">
        <v>3778</v>
      </c>
      <c r="I128" s="2" t="s">
        <v>277</v>
      </c>
      <c r="J128" s="2" t="s">
        <v>22</v>
      </c>
      <c r="K128" s="2" t="s">
        <v>26</v>
      </c>
      <c r="L128" t="str">
        <f t="shared" si="2"/>
        <v>May</v>
      </c>
      <c r="M128" t="str">
        <f t="shared" si="3"/>
        <v>High</v>
      </c>
    </row>
    <row r="129" spans="1:13">
      <c r="A129" s="1" t="s">
        <v>278</v>
      </c>
      <c r="B129" s="2" t="s">
        <v>9</v>
      </c>
      <c r="C129" s="2">
        <v>51</v>
      </c>
      <c r="D129" s="2" t="s">
        <v>2</v>
      </c>
      <c r="E129" s="2" t="s">
        <v>3</v>
      </c>
      <c r="F129" s="2">
        <v>10367</v>
      </c>
      <c r="G129" s="2" t="s">
        <v>17</v>
      </c>
      <c r="H129" s="2">
        <v>4771</v>
      </c>
      <c r="I129" s="2" t="s">
        <v>279</v>
      </c>
      <c r="J129" s="2" t="s">
        <v>13</v>
      </c>
      <c r="K129" s="2" t="s">
        <v>7</v>
      </c>
      <c r="L129" t="str">
        <f t="shared" si="2"/>
        <v>May</v>
      </c>
      <c r="M129" t="str">
        <f t="shared" si="3"/>
        <v>High</v>
      </c>
    </row>
    <row r="130" spans="1:13">
      <c r="A130" s="1" t="s">
        <v>280</v>
      </c>
      <c r="B130" s="2" t="s">
        <v>48</v>
      </c>
      <c r="C130" s="2">
        <v>28</v>
      </c>
      <c r="D130" s="2" t="s">
        <v>2</v>
      </c>
      <c r="E130" s="2" t="s">
        <v>3</v>
      </c>
      <c r="F130" s="2">
        <v>7388</v>
      </c>
      <c r="G130" s="2" t="s">
        <v>4</v>
      </c>
      <c r="H130" s="2">
        <v>4493</v>
      </c>
      <c r="I130" s="2" t="s">
        <v>281</v>
      </c>
      <c r="J130" s="2" t="s">
        <v>13</v>
      </c>
      <c r="K130" s="2" t="s">
        <v>26</v>
      </c>
      <c r="L130" t="str">
        <f t="shared" si="2"/>
        <v>May</v>
      </c>
      <c r="M130" t="str">
        <f t="shared" si="3"/>
        <v>low</v>
      </c>
    </row>
    <row r="131" spans="1:13">
      <c r="A131" s="1" t="s">
        <v>282</v>
      </c>
      <c r="B131" s="2" t="s">
        <v>45</v>
      </c>
      <c r="C131" s="2">
        <v>32</v>
      </c>
      <c r="D131" s="2" t="s">
        <v>2</v>
      </c>
      <c r="E131" s="2" t="s">
        <v>10</v>
      </c>
      <c r="F131" s="2">
        <v>4263</v>
      </c>
      <c r="G131" s="2" t="s">
        <v>4</v>
      </c>
      <c r="H131" s="2">
        <v>4899</v>
      </c>
      <c r="I131" s="2" t="s">
        <v>283</v>
      </c>
      <c r="J131" s="2" t="s">
        <v>6</v>
      </c>
      <c r="K131" s="2" t="s">
        <v>7</v>
      </c>
      <c r="L131" t="str">
        <f t="shared" ref="L131:L151" si="4">TEXT(I131,"mmm")</f>
        <v>May</v>
      </c>
      <c r="M131" t="str">
        <f t="shared" si="3"/>
        <v>low</v>
      </c>
    </row>
    <row r="132" spans="1:13">
      <c r="A132" s="1" t="s">
        <v>284</v>
      </c>
      <c r="B132" s="2" t="s">
        <v>33</v>
      </c>
      <c r="C132" s="2">
        <v>25</v>
      </c>
      <c r="D132" s="2" t="s">
        <v>2</v>
      </c>
      <c r="E132" s="2" t="s">
        <v>10</v>
      </c>
      <c r="F132" s="2">
        <v>22218</v>
      </c>
      <c r="G132" s="2" t="s">
        <v>17</v>
      </c>
      <c r="H132" s="2">
        <v>1867</v>
      </c>
      <c r="I132" s="2" t="s">
        <v>285</v>
      </c>
      <c r="J132" s="2" t="s">
        <v>13</v>
      </c>
      <c r="K132" s="2" t="s">
        <v>26</v>
      </c>
      <c r="L132" t="str">
        <f t="shared" si="4"/>
        <v>May</v>
      </c>
      <c r="M132" t="str">
        <f t="shared" ref="M132:M151" si="5">IF(F132&lt;=10000,"low","High")</f>
        <v>High</v>
      </c>
    </row>
    <row r="133" spans="1:13">
      <c r="A133" s="1" t="s">
        <v>286</v>
      </c>
      <c r="B133" s="2" t="s">
        <v>78</v>
      </c>
      <c r="C133" s="2">
        <v>24</v>
      </c>
      <c r="D133" s="2" t="s">
        <v>2</v>
      </c>
      <c r="E133" s="2" t="s">
        <v>3</v>
      </c>
      <c r="F133" s="2">
        <v>19371</v>
      </c>
      <c r="G133" s="2" t="s">
        <v>4</v>
      </c>
      <c r="H133" s="2">
        <v>2213</v>
      </c>
      <c r="I133" s="2" t="s">
        <v>287</v>
      </c>
      <c r="J133" s="2" t="s">
        <v>22</v>
      </c>
      <c r="K133" s="2" t="s">
        <v>7</v>
      </c>
      <c r="L133" t="str">
        <f t="shared" si="4"/>
        <v>May</v>
      </c>
      <c r="M133" t="str">
        <f t="shared" si="5"/>
        <v>High</v>
      </c>
    </row>
    <row r="134" spans="1:13">
      <c r="A134" s="1" t="s">
        <v>288</v>
      </c>
      <c r="B134" s="2" t="s">
        <v>48</v>
      </c>
      <c r="C134" s="2">
        <v>28</v>
      </c>
      <c r="D134" s="2" t="s">
        <v>2</v>
      </c>
      <c r="E134" s="2" t="s">
        <v>3</v>
      </c>
      <c r="F134" s="2">
        <v>14988</v>
      </c>
      <c r="G134" s="2" t="s">
        <v>4</v>
      </c>
      <c r="H134" s="2">
        <v>4678</v>
      </c>
      <c r="I134" s="2" t="s">
        <v>289</v>
      </c>
      <c r="J134" s="2" t="s">
        <v>13</v>
      </c>
      <c r="K134" s="2" t="s">
        <v>26</v>
      </c>
      <c r="L134" t="str">
        <f t="shared" si="4"/>
        <v>May</v>
      </c>
      <c r="M134" t="str">
        <f t="shared" si="5"/>
        <v>High</v>
      </c>
    </row>
    <row r="135" spans="1:13">
      <c r="A135" s="1" t="s">
        <v>290</v>
      </c>
      <c r="B135" s="2" t="s">
        <v>45</v>
      </c>
      <c r="C135" s="2">
        <v>32</v>
      </c>
      <c r="D135" s="2" t="s">
        <v>34</v>
      </c>
      <c r="E135" s="2" t="s">
        <v>16</v>
      </c>
      <c r="F135" s="2">
        <v>24670</v>
      </c>
      <c r="G135" s="2" t="s">
        <v>17</v>
      </c>
      <c r="H135" s="2">
        <v>2518</v>
      </c>
      <c r="I135" s="2" t="s">
        <v>291</v>
      </c>
      <c r="J135" s="2" t="s">
        <v>13</v>
      </c>
      <c r="K135" s="2" t="s">
        <v>7</v>
      </c>
      <c r="L135" t="str">
        <f t="shared" si="4"/>
        <v>May</v>
      </c>
      <c r="M135" t="str">
        <f t="shared" si="5"/>
        <v>High</v>
      </c>
    </row>
    <row r="136" spans="1:13">
      <c r="A136" s="1" t="s">
        <v>292</v>
      </c>
      <c r="B136" s="2" t="s">
        <v>1</v>
      </c>
      <c r="C136" s="2">
        <v>51</v>
      </c>
      <c r="D136" s="2" t="s">
        <v>34</v>
      </c>
      <c r="E136" s="2" t="s">
        <v>16</v>
      </c>
      <c r="F136" s="2">
        <v>4708</v>
      </c>
      <c r="G136" s="2" t="s">
        <v>17</v>
      </c>
      <c r="H136" s="2">
        <v>2590</v>
      </c>
      <c r="I136" s="3" t="s">
        <v>293</v>
      </c>
      <c r="J136" s="2" t="s">
        <v>29</v>
      </c>
      <c r="K136" s="2" t="s">
        <v>26</v>
      </c>
      <c r="L136" t="str">
        <f t="shared" si="4"/>
        <v>May</v>
      </c>
      <c r="M136" t="str">
        <f t="shared" si="5"/>
        <v>low</v>
      </c>
    </row>
    <row r="137" spans="1:13">
      <c r="A137" s="1" t="s">
        <v>294</v>
      </c>
      <c r="B137" s="2" t="s">
        <v>45</v>
      </c>
      <c r="C137" s="2">
        <v>32</v>
      </c>
      <c r="D137" s="2" t="s">
        <v>34</v>
      </c>
      <c r="E137" s="2" t="s">
        <v>10</v>
      </c>
      <c r="F137" s="2">
        <v>4758</v>
      </c>
      <c r="G137" s="2" t="s">
        <v>4</v>
      </c>
      <c r="H137" s="2">
        <v>4047</v>
      </c>
      <c r="I137" s="2" t="s">
        <v>295</v>
      </c>
      <c r="J137" s="2" t="s">
        <v>6</v>
      </c>
      <c r="K137" s="2" t="s">
        <v>26</v>
      </c>
      <c r="L137" t="str">
        <f t="shared" si="4"/>
        <v>May</v>
      </c>
      <c r="M137" t="str">
        <f t="shared" si="5"/>
        <v>low</v>
      </c>
    </row>
    <row r="138" spans="1:13">
      <c r="A138" s="1" t="s">
        <v>296</v>
      </c>
      <c r="B138" s="2" t="s">
        <v>57</v>
      </c>
      <c r="C138" s="2">
        <v>54</v>
      </c>
      <c r="D138" s="2" t="s">
        <v>2</v>
      </c>
      <c r="E138" s="2" t="s">
        <v>16</v>
      </c>
      <c r="F138" s="2">
        <v>7656</v>
      </c>
      <c r="G138" s="2" t="s">
        <v>17</v>
      </c>
      <c r="H138" s="2">
        <v>928</v>
      </c>
      <c r="I138" s="2" t="s">
        <v>297</v>
      </c>
      <c r="J138" s="2" t="s">
        <v>6</v>
      </c>
      <c r="K138" s="2" t="s">
        <v>7</v>
      </c>
      <c r="L138" t="str">
        <f t="shared" si="4"/>
        <v>May</v>
      </c>
      <c r="M138" t="str">
        <f t="shared" si="5"/>
        <v>low</v>
      </c>
    </row>
    <row r="139" spans="1:13">
      <c r="A139" s="1" t="s">
        <v>298</v>
      </c>
      <c r="B139" s="2" t="s">
        <v>20</v>
      </c>
      <c r="C139" s="2">
        <v>48</v>
      </c>
      <c r="D139" s="2" t="s">
        <v>2</v>
      </c>
      <c r="E139" s="2" t="s">
        <v>3</v>
      </c>
      <c r="F139" s="2">
        <v>20764</v>
      </c>
      <c r="G139" s="2" t="s">
        <v>17</v>
      </c>
      <c r="H139" s="2">
        <v>3220</v>
      </c>
      <c r="I139" s="2" t="s">
        <v>299</v>
      </c>
      <c r="J139" s="2" t="s">
        <v>13</v>
      </c>
      <c r="K139" s="2" t="s">
        <v>26</v>
      </c>
      <c r="L139" t="str">
        <f t="shared" si="4"/>
        <v>May</v>
      </c>
      <c r="M139" t="str">
        <f t="shared" si="5"/>
        <v>High</v>
      </c>
    </row>
    <row r="140" spans="1:13">
      <c r="A140" s="1" t="s">
        <v>300</v>
      </c>
      <c r="B140" s="2" t="s">
        <v>9</v>
      </c>
      <c r="C140" s="2">
        <v>51</v>
      </c>
      <c r="D140" s="2" t="s">
        <v>2</v>
      </c>
      <c r="E140" s="2" t="s">
        <v>16</v>
      </c>
      <c r="F140" s="2">
        <v>7140</v>
      </c>
      <c r="G140" s="2" t="s">
        <v>11</v>
      </c>
      <c r="H140" s="2">
        <v>4229</v>
      </c>
      <c r="I140" s="2" t="s">
        <v>301</v>
      </c>
      <c r="J140" s="2" t="s">
        <v>29</v>
      </c>
      <c r="K140" s="2" t="s">
        <v>7</v>
      </c>
      <c r="L140" t="str">
        <f t="shared" si="4"/>
        <v>May</v>
      </c>
      <c r="M140" t="str">
        <f t="shared" si="5"/>
        <v>low</v>
      </c>
    </row>
    <row r="141" spans="1:13">
      <c r="A141" s="1" t="s">
        <v>302</v>
      </c>
      <c r="B141" s="2" t="s">
        <v>15</v>
      </c>
      <c r="C141" s="2">
        <v>55</v>
      </c>
      <c r="D141" s="2" t="s">
        <v>34</v>
      </c>
      <c r="E141" s="2" t="s">
        <v>16</v>
      </c>
      <c r="F141" s="2">
        <v>9867</v>
      </c>
      <c r="G141" s="2" t="s">
        <v>17</v>
      </c>
      <c r="H141" s="2">
        <v>521</v>
      </c>
      <c r="I141" s="2" t="s">
        <v>303</v>
      </c>
      <c r="J141" s="2" t="s">
        <v>29</v>
      </c>
      <c r="K141" s="2" t="s">
        <v>26</v>
      </c>
      <c r="L141" t="str">
        <f t="shared" si="4"/>
        <v>May</v>
      </c>
      <c r="M141" t="str">
        <f t="shared" si="5"/>
        <v>low</v>
      </c>
    </row>
    <row r="142" spans="1:13">
      <c r="A142" s="1" t="s">
        <v>304</v>
      </c>
      <c r="B142" s="2" t="s">
        <v>24</v>
      </c>
      <c r="C142" s="2">
        <v>23</v>
      </c>
      <c r="D142" s="2" t="s">
        <v>34</v>
      </c>
      <c r="E142" s="2" t="s">
        <v>10</v>
      </c>
      <c r="F142" s="2">
        <v>4397</v>
      </c>
      <c r="G142" s="2" t="s">
        <v>11</v>
      </c>
      <c r="H142" s="2">
        <v>2846</v>
      </c>
      <c r="I142" s="2" t="s">
        <v>305</v>
      </c>
      <c r="J142" s="2" t="s">
        <v>13</v>
      </c>
      <c r="K142" s="2" t="s">
        <v>7</v>
      </c>
      <c r="L142" t="str">
        <f t="shared" si="4"/>
        <v>May</v>
      </c>
      <c r="M142" t="str">
        <f t="shared" si="5"/>
        <v>low</v>
      </c>
    </row>
    <row r="143" spans="1:13">
      <c r="A143" s="1" t="s">
        <v>306</v>
      </c>
      <c r="B143" s="2" t="s">
        <v>15</v>
      </c>
      <c r="C143" s="2">
        <v>55</v>
      </c>
      <c r="D143" s="2" t="s">
        <v>2</v>
      </c>
      <c r="E143" s="2" t="s">
        <v>16</v>
      </c>
      <c r="F143" s="2">
        <v>15862</v>
      </c>
      <c r="G143" s="2" t="s">
        <v>4</v>
      </c>
      <c r="H143" s="2">
        <v>2177</v>
      </c>
      <c r="I143" s="2" t="s">
        <v>307</v>
      </c>
      <c r="J143" s="2" t="s">
        <v>6</v>
      </c>
      <c r="K143" s="2" t="s">
        <v>26</v>
      </c>
      <c r="L143" t="str">
        <f t="shared" si="4"/>
        <v>May</v>
      </c>
      <c r="M143" t="str">
        <f t="shared" si="5"/>
        <v>High</v>
      </c>
    </row>
    <row r="144" spans="1:13">
      <c r="A144" s="1" t="s">
        <v>308</v>
      </c>
      <c r="B144" s="2" t="s">
        <v>33</v>
      </c>
      <c r="C144" s="2">
        <v>25</v>
      </c>
      <c r="D144" s="2" t="s">
        <v>2</v>
      </c>
      <c r="E144" s="2" t="s">
        <v>16</v>
      </c>
      <c r="F144" s="2">
        <v>16540</v>
      </c>
      <c r="G144" s="2" t="s">
        <v>4</v>
      </c>
      <c r="H144" s="2">
        <v>1749</v>
      </c>
      <c r="I144" s="2" t="s">
        <v>309</v>
      </c>
      <c r="J144" s="2" t="s">
        <v>13</v>
      </c>
      <c r="K144" s="2" t="s">
        <v>26</v>
      </c>
      <c r="L144" t="str">
        <f t="shared" si="4"/>
        <v>May</v>
      </c>
      <c r="M144" t="str">
        <f t="shared" si="5"/>
        <v>High</v>
      </c>
    </row>
    <row r="145" spans="1:13">
      <c r="A145" s="1" t="s">
        <v>310</v>
      </c>
      <c r="B145" s="2" t="s">
        <v>15</v>
      </c>
      <c r="C145" s="2">
        <v>55</v>
      </c>
      <c r="D145" s="2" t="s">
        <v>34</v>
      </c>
      <c r="E145" s="2" t="s">
        <v>3</v>
      </c>
      <c r="F145" s="2">
        <v>10848</v>
      </c>
      <c r="G145" s="2" t="s">
        <v>11</v>
      </c>
      <c r="H145" s="2">
        <v>680</v>
      </c>
      <c r="I145" s="2" t="s">
        <v>311</v>
      </c>
      <c r="J145" s="2" t="s">
        <v>13</v>
      </c>
      <c r="K145" s="2" t="s">
        <v>26</v>
      </c>
      <c r="L145" t="str">
        <f t="shared" si="4"/>
        <v>May</v>
      </c>
      <c r="M145" t="str">
        <f t="shared" si="5"/>
        <v>High</v>
      </c>
    </row>
    <row r="146" spans="1:13">
      <c r="A146" s="1" t="s">
        <v>312</v>
      </c>
      <c r="B146" s="2" t="s">
        <v>33</v>
      </c>
      <c r="C146" s="2">
        <v>25</v>
      </c>
      <c r="D146" s="2" t="s">
        <v>34</v>
      </c>
      <c r="E146" s="2" t="s">
        <v>3</v>
      </c>
      <c r="F146" s="2">
        <v>15739</v>
      </c>
      <c r="G146" s="2" t="s">
        <v>11</v>
      </c>
      <c r="H146" s="2">
        <v>896</v>
      </c>
      <c r="I146" s="2" t="s">
        <v>313</v>
      </c>
      <c r="J146" s="2" t="s">
        <v>6</v>
      </c>
      <c r="K146" s="2" t="s">
        <v>26</v>
      </c>
      <c r="L146" t="str">
        <f t="shared" si="4"/>
        <v>May</v>
      </c>
      <c r="M146" t="str">
        <f t="shared" si="5"/>
        <v>High</v>
      </c>
    </row>
    <row r="147" spans="1:13">
      <c r="A147" s="1" t="s">
        <v>314</v>
      </c>
      <c r="B147" s="2" t="s">
        <v>48</v>
      </c>
      <c r="C147" s="2">
        <v>28</v>
      </c>
      <c r="D147" s="2" t="s">
        <v>2</v>
      </c>
      <c r="E147" s="2" t="s">
        <v>16</v>
      </c>
      <c r="F147" s="2">
        <v>7548</v>
      </c>
      <c r="G147" s="2" t="s">
        <v>17</v>
      </c>
      <c r="H147" s="2">
        <v>3203</v>
      </c>
      <c r="I147" s="2" t="s">
        <v>315</v>
      </c>
      <c r="J147" s="2" t="s">
        <v>13</v>
      </c>
      <c r="K147" s="2" t="s">
        <v>26</v>
      </c>
      <c r="L147" t="str">
        <f t="shared" si="4"/>
        <v>May</v>
      </c>
      <c r="M147" t="str">
        <f t="shared" si="5"/>
        <v>low</v>
      </c>
    </row>
    <row r="148" spans="1:13">
      <c r="A148" s="1" t="s">
        <v>316</v>
      </c>
      <c r="B148" s="2" t="s">
        <v>48</v>
      </c>
      <c r="C148" s="2">
        <v>28</v>
      </c>
      <c r="D148" s="2" t="s">
        <v>34</v>
      </c>
      <c r="E148" s="2" t="s">
        <v>10</v>
      </c>
      <c r="F148" s="2">
        <v>4448</v>
      </c>
      <c r="G148" s="2" t="s">
        <v>17</v>
      </c>
      <c r="H148" s="2">
        <v>1763</v>
      </c>
      <c r="I148" s="2" t="s">
        <v>317</v>
      </c>
      <c r="J148" s="2" t="s">
        <v>6</v>
      </c>
      <c r="K148" s="2" t="s">
        <v>7</v>
      </c>
      <c r="L148" t="str">
        <f t="shared" si="4"/>
        <v>May</v>
      </c>
      <c r="M148" t="str">
        <f t="shared" si="5"/>
        <v>low</v>
      </c>
    </row>
    <row r="149" spans="1:13">
      <c r="A149" s="1" t="s">
        <v>318</v>
      </c>
      <c r="B149" s="2" t="s">
        <v>57</v>
      </c>
      <c r="C149" s="2">
        <v>54</v>
      </c>
      <c r="D149" s="2" t="s">
        <v>2</v>
      </c>
      <c r="E149" s="2" t="s">
        <v>10</v>
      </c>
      <c r="F149" s="2">
        <v>13934</v>
      </c>
      <c r="G149" s="2" t="s">
        <v>11</v>
      </c>
      <c r="H149" s="2">
        <v>890</v>
      </c>
      <c r="I149" s="2" t="s">
        <v>319</v>
      </c>
      <c r="J149" s="2" t="s">
        <v>22</v>
      </c>
      <c r="K149" s="2" t="s">
        <v>26</v>
      </c>
      <c r="L149" t="str">
        <f t="shared" si="4"/>
        <v>May</v>
      </c>
      <c r="M149" t="str">
        <f t="shared" si="5"/>
        <v>High</v>
      </c>
    </row>
    <row r="150" spans="1:13">
      <c r="A150" s="1" t="s">
        <v>320</v>
      </c>
      <c r="B150" s="2" t="s">
        <v>48</v>
      </c>
      <c r="C150" s="2">
        <v>28</v>
      </c>
      <c r="D150" s="2" t="s">
        <v>2</v>
      </c>
      <c r="E150" s="2" t="s">
        <v>10</v>
      </c>
      <c r="F150" s="2">
        <v>6374</v>
      </c>
      <c r="G150" s="2" t="s">
        <v>4</v>
      </c>
      <c r="H150" s="2">
        <v>3115</v>
      </c>
      <c r="I150" s="2" t="s">
        <v>321</v>
      </c>
      <c r="J150" s="2" t="s">
        <v>6</v>
      </c>
      <c r="K150" s="2" t="s">
        <v>7</v>
      </c>
      <c r="L150" t="str">
        <f t="shared" si="4"/>
        <v>May</v>
      </c>
      <c r="M150" t="str">
        <f t="shared" si="5"/>
        <v>low</v>
      </c>
    </row>
    <row r="151" spans="1:13">
      <c r="A151" s="4" t="s">
        <v>322</v>
      </c>
      <c r="B151" s="5" t="s">
        <v>57</v>
      </c>
      <c r="C151" s="5">
        <v>54</v>
      </c>
      <c r="D151" s="5" t="s">
        <v>34</v>
      </c>
      <c r="E151" s="5" t="s">
        <v>3</v>
      </c>
      <c r="F151" s="5">
        <v>7143</v>
      </c>
      <c r="G151" s="5" t="s">
        <v>11</v>
      </c>
      <c r="H151" s="5">
        <v>2338</v>
      </c>
      <c r="I151" s="5" t="s">
        <v>323</v>
      </c>
      <c r="J151" s="5" t="s">
        <v>29</v>
      </c>
      <c r="K151" s="5" t="s">
        <v>7</v>
      </c>
      <c r="L151" t="str">
        <f t="shared" si="4"/>
        <v>May</v>
      </c>
      <c r="M151" t="str">
        <f t="shared" si="5"/>
        <v>low</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metrics</vt:lpstr>
      <vt:lpstr>dashboard</vt:lpstr>
      <vt:lpstr>pivot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2026-08-03T10:36:17Z</dcterms:created>
  <dcterms:modified xsi:type="dcterms:W3CDTF">2026-10-05T11:10:49Z</dcterms:modified>
</cp:coreProperties>
</file>